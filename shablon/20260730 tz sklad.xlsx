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ZT\Yandex.Disk\На печать\"/>
    </mc:Choice>
  </mc:AlternateContent>
  <xr:revisionPtr revIDLastSave="0" documentId="13_ncr:1_{568EB314-ED57-407F-BEAB-AA0AA42B142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4" i="1" l="1"/>
  <c r="I94" i="1" s="1"/>
  <c r="C93" i="1"/>
  <c r="I93" i="1" s="1"/>
  <c r="C92" i="1"/>
  <c r="I92" i="1" s="1"/>
  <c r="C91" i="1"/>
  <c r="I91" i="1" s="1"/>
  <c r="C90" i="1"/>
  <c r="I90" i="1" s="1"/>
  <c r="C89" i="1"/>
  <c r="I89" i="1" s="1"/>
  <c r="B89" i="1"/>
  <c r="C88" i="1"/>
  <c r="I88" i="1" s="1"/>
  <c r="B88" i="1"/>
  <c r="C87" i="1"/>
  <c r="I87" i="1" s="1"/>
  <c r="B87" i="1"/>
  <c r="I86" i="1"/>
  <c r="C86" i="1"/>
  <c r="B86" i="1"/>
  <c r="C85" i="1"/>
  <c r="I85" i="1" s="1"/>
  <c r="B85" i="1"/>
  <c r="C84" i="1"/>
  <c r="I84" i="1" s="1"/>
  <c r="B84" i="1"/>
  <c r="C83" i="1"/>
  <c r="I83" i="1" s="1"/>
  <c r="B83" i="1"/>
  <c r="C82" i="1"/>
  <c r="I82" i="1" s="1"/>
  <c r="B82" i="1"/>
  <c r="C81" i="1"/>
  <c r="I81" i="1" s="1"/>
  <c r="B81" i="1"/>
  <c r="C80" i="1"/>
  <c r="I80" i="1" s="1"/>
  <c r="B80" i="1"/>
  <c r="C79" i="1"/>
  <c r="I79" i="1" s="1"/>
  <c r="B79" i="1"/>
  <c r="I78" i="1"/>
  <c r="C78" i="1"/>
  <c r="B78" i="1"/>
  <c r="C77" i="1"/>
  <c r="I77" i="1" s="1"/>
  <c r="B77" i="1"/>
  <c r="C76" i="1"/>
  <c r="I76" i="1" s="1"/>
  <c r="B76" i="1"/>
  <c r="C75" i="1"/>
  <c r="B75" i="1"/>
  <c r="C74" i="1"/>
  <c r="I74" i="1" s="1"/>
  <c r="B74" i="1"/>
  <c r="C73" i="1"/>
  <c r="I73" i="1" s="1"/>
  <c r="B73" i="1"/>
  <c r="C72" i="1"/>
  <c r="I72" i="1" s="1"/>
  <c r="B72" i="1"/>
  <c r="I71" i="1"/>
  <c r="C71" i="1"/>
  <c r="B71" i="1"/>
  <c r="C70" i="1"/>
  <c r="I70" i="1" s="1"/>
  <c r="B70" i="1"/>
  <c r="C69" i="1"/>
  <c r="I69" i="1" s="1"/>
  <c r="B69" i="1"/>
  <c r="C68" i="1"/>
  <c r="I68" i="1" s="1"/>
  <c r="B68" i="1"/>
  <c r="C67" i="1"/>
  <c r="I67" i="1" s="1"/>
  <c r="B67" i="1"/>
  <c r="C66" i="1"/>
  <c r="I66" i="1" s="1"/>
  <c r="B66" i="1"/>
  <c r="C65" i="1"/>
  <c r="I65" i="1" s="1"/>
  <c r="B65" i="1"/>
  <c r="C64" i="1"/>
  <c r="I64" i="1" s="1"/>
  <c r="B64" i="1"/>
  <c r="C63" i="1"/>
  <c r="I63" i="1" s="1"/>
  <c r="B63" i="1"/>
  <c r="C62" i="1"/>
  <c r="I62" i="1" s="1"/>
  <c r="B62" i="1"/>
  <c r="C61" i="1"/>
  <c r="I61" i="1" s="1"/>
  <c r="B61" i="1"/>
  <c r="C60" i="1"/>
  <c r="I60" i="1" s="1"/>
  <c r="B60" i="1"/>
  <c r="I59" i="1"/>
  <c r="C59" i="1"/>
  <c r="B59" i="1"/>
  <c r="C58" i="1"/>
  <c r="I58" i="1" s="1"/>
  <c r="B58" i="1"/>
  <c r="C57" i="1"/>
  <c r="I57" i="1" s="1"/>
  <c r="B57" i="1"/>
  <c r="C56" i="1"/>
  <c r="I56" i="1" s="1"/>
  <c r="B56" i="1"/>
  <c r="C55" i="1"/>
  <c r="I55" i="1" s="1"/>
  <c r="B55" i="1"/>
  <c r="C54" i="1"/>
  <c r="I54" i="1" s="1"/>
  <c r="B54" i="1"/>
  <c r="C53" i="1"/>
  <c r="I53" i="1" s="1"/>
  <c r="B53" i="1"/>
  <c r="I52" i="1"/>
  <c r="C52" i="1"/>
  <c r="B52" i="1"/>
  <c r="I51" i="1"/>
  <c r="C51" i="1"/>
  <c r="C50" i="1"/>
  <c r="I50" i="1" s="1"/>
  <c r="I49" i="1"/>
  <c r="C49" i="1"/>
  <c r="C48" i="1"/>
  <c r="I48" i="1" s="1"/>
  <c r="B48" i="1"/>
  <c r="C47" i="1"/>
  <c r="I47" i="1" s="1"/>
  <c r="B47" i="1"/>
  <c r="I46" i="1"/>
  <c r="C46" i="1"/>
  <c r="B46" i="1"/>
  <c r="C45" i="1"/>
  <c r="I45" i="1" s="1"/>
  <c r="B45" i="1"/>
  <c r="C44" i="1"/>
  <c r="I44" i="1" s="1"/>
  <c r="B44" i="1"/>
  <c r="C43" i="1"/>
  <c r="I43" i="1" s="1"/>
  <c r="B43" i="1"/>
  <c r="C42" i="1"/>
  <c r="I42" i="1" s="1"/>
  <c r="B42" i="1"/>
  <c r="C41" i="1"/>
  <c r="I41" i="1" s="1"/>
  <c r="B41" i="1"/>
  <c r="C40" i="1"/>
  <c r="I40" i="1" s="1"/>
  <c r="B40" i="1"/>
  <c r="C39" i="1"/>
  <c r="I39" i="1" s="1"/>
  <c r="C38" i="1"/>
  <c r="I38" i="1" s="1"/>
  <c r="B38" i="1"/>
  <c r="C37" i="1"/>
  <c r="I37" i="1" s="1"/>
  <c r="B37" i="1"/>
  <c r="C36" i="1"/>
  <c r="I36" i="1" s="1"/>
  <c r="B36" i="1"/>
  <c r="I35" i="1"/>
  <c r="C35" i="1"/>
  <c r="B35" i="1"/>
  <c r="C34" i="1"/>
  <c r="I34" i="1" s="1"/>
  <c r="B34" i="1"/>
  <c r="C33" i="1"/>
  <c r="I33" i="1" s="1"/>
  <c r="B33" i="1"/>
  <c r="C32" i="1"/>
  <c r="I32" i="1" s="1"/>
  <c r="B32" i="1"/>
  <c r="C31" i="1"/>
  <c r="I31" i="1" s="1"/>
  <c r="C30" i="1"/>
  <c r="I30" i="1" s="1"/>
  <c r="C29" i="1"/>
  <c r="I29" i="1" s="1"/>
  <c r="C28" i="1"/>
  <c r="I28" i="1" s="1"/>
  <c r="C27" i="1"/>
  <c r="I27" i="1" s="1"/>
  <c r="B27" i="1"/>
  <c r="C26" i="1"/>
  <c r="I26" i="1" s="1"/>
  <c r="B26" i="1"/>
  <c r="C25" i="1"/>
  <c r="I25" i="1" s="1"/>
  <c r="B25" i="1"/>
  <c r="C24" i="1"/>
  <c r="I24" i="1" s="1"/>
  <c r="B24" i="1"/>
  <c r="C23" i="1"/>
  <c r="I23" i="1" s="1"/>
  <c r="B23" i="1"/>
  <c r="C22" i="1"/>
  <c r="I22" i="1" s="1"/>
  <c r="B22" i="1"/>
  <c r="C21" i="1"/>
  <c r="I21" i="1" s="1"/>
  <c r="B21" i="1"/>
  <c r="I20" i="1"/>
  <c r="C20" i="1"/>
  <c r="B20" i="1"/>
  <c r="C19" i="1"/>
  <c r="I19" i="1" s="1"/>
  <c r="B19" i="1"/>
  <c r="C18" i="1"/>
  <c r="I18" i="1" s="1"/>
  <c r="I17" i="1"/>
  <c r="C17" i="1"/>
  <c r="C16" i="1"/>
  <c r="I16" i="1" s="1"/>
  <c r="B16" i="1"/>
  <c r="C15" i="1"/>
  <c r="I15" i="1" s="1"/>
  <c r="B15" i="1"/>
  <c r="I14" i="1"/>
  <c r="C14" i="1"/>
  <c r="B14" i="1"/>
  <c r="I13" i="1"/>
  <c r="C13" i="1"/>
  <c r="B13" i="1"/>
  <c r="C12" i="1"/>
  <c r="I12" i="1" s="1"/>
  <c r="B12" i="1"/>
  <c r="C11" i="1"/>
  <c r="I11" i="1" s="1"/>
  <c r="B11" i="1"/>
  <c r="C10" i="1"/>
  <c r="I10" i="1" s="1"/>
  <c r="B10" i="1"/>
  <c r="I9" i="1"/>
  <c r="C9" i="1"/>
  <c r="B9" i="1"/>
  <c r="C8" i="1"/>
  <c r="I8" i="1" s="1"/>
  <c r="B8" i="1"/>
  <c r="C7" i="1"/>
  <c r="I7" i="1" s="1"/>
  <c r="I6" i="1"/>
  <c r="C6" i="1"/>
  <c r="B6" i="1"/>
  <c r="C5" i="1"/>
  <c r="I5" i="1" s="1"/>
  <c r="C4" i="1"/>
  <c r="I4" i="1" s="1"/>
  <c r="B4" i="1"/>
  <c r="I3" i="1"/>
  <c r="C3" i="1"/>
  <c r="B3" i="1"/>
  <c r="C2" i="1"/>
  <c r="I2" i="1" s="1"/>
  <c r="B2" i="1"/>
</calcChain>
</file>

<file path=xl/sharedStrings.xml><?xml version="1.0" encoding="utf-8"?>
<sst xmlns="http://schemas.openxmlformats.org/spreadsheetml/2006/main" count="21" uniqueCount="18">
  <si>
    <t>№</t>
  </si>
  <si>
    <t>наименование</t>
  </si>
  <si>
    <t>остаток</t>
  </si>
  <si>
    <t>Романов 0,5</t>
  </si>
  <si>
    <t>Годунов 0,5</t>
  </si>
  <si>
    <t>Талка 0,7</t>
  </si>
  <si>
    <t>Талка 0,5</t>
  </si>
  <si>
    <t>Ром 0,7</t>
  </si>
  <si>
    <t>Ром 0,5</t>
  </si>
  <si>
    <t>Коньяк 0,7</t>
  </si>
  <si>
    <t>Коньяк 0,5</t>
  </si>
  <si>
    <t>Холстен</t>
  </si>
  <si>
    <t>горилла</t>
  </si>
  <si>
    <t>Хайнекен</t>
  </si>
  <si>
    <t>Ючанг</t>
  </si>
  <si>
    <t>приход</t>
  </si>
  <si>
    <t>перемещение</t>
  </si>
  <si>
    <t>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</si>
</sst>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2" fillId="0" borderId="2" xfId="0" applyFont="1" applyBorder="1"/>
    <xf numFmtId="0" fontId="0" fillId="0" borderId="3" xfId="0" applyFont="1" applyBorder="1" applyAlignment="1"/>
    <xf numFmtId="0" fontId="2" fillId="0" borderId="4" xfId="0" applyFont="1" applyBorder="1"/>
    <xf numFmtId="0" fontId="1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52;&#1086;&#1081;%20&#1076;&#1080;&#1089;&#1082;\&#1042;&#1077;&#1088;&#1093;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20260628%20disk/&#1042;&#1077;&#1088;&#1093;%202026%20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07"/>
      <sheetName val="26.07"/>
      <sheetName val="27.07"/>
      <sheetName val="29.07"/>
      <sheetName val="1.08"/>
      <sheetName val="3.08"/>
      <sheetName val="5.08"/>
      <sheetName val="8.08"/>
      <sheetName val="11.08"/>
      <sheetName val="14.08"/>
      <sheetName val="15.08"/>
      <sheetName val="17.08"/>
      <sheetName val="19.08"/>
      <sheetName val="22.08"/>
      <sheetName val="24.08"/>
      <sheetName val="26.08"/>
      <sheetName val="28.06"/>
      <sheetName val="30.08"/>
      <sheetName val="2.09"/>
      <sheetName val="5.09"/>
      <sheetName val="7.09"/>
      <sheetName val="8.09"/>
      <sheetName val="9.09"/>
      <sheetName val="11.09"/>
      <sheetName val="13.09"/>
      <sheetName val="15.09"/>
      <sheetName val="17.09"/>
      <sheetName val="19.09"/>
      <sheetName val="20.09"/>
      <sheetName val="21.09"/>
      <sheetName val="23.09"/>
      <sheetName val="25.09"/>
      <sheetName val="27.09"/>
      <sheetName val="29.09"/>
      <sheetName val="1.10"/>
      <sheetName val="3.10"/>
      <sheetName val="5.10"/>
      <sheetName val="7.10"/>
      <sheetName val="9.10"/>
      <sheetName val="11.10"/>
      <sheetName val="13.10"/>
      <sheetName val="15.10"/>
      <sheetName val="17.10"/>
      <sheetName val="19.10"/>
      <sheetName val="21.10"/>
      <sheetName val="23.10"/>
      <sheetName val="25.10"/>
      <sheetName val="27.10"/>
      <sheetName val="29.10"/>
      <sheetName val="31.10"/>
      <sheetName val="2.11"/>
      <sheetName val="4.11"/>
      <sheetName val="7.11"/>
      <sheetName val="8.11"/>
      <sheetName val="10.11"/>
      <sheetName val="12.11"/>
      <sheetName val="14.11"/>
      <sheetName val="16.11"/>
      <sheetName val="18.11"/>
      <sheetName val="20.11"/>
      <sheetName val="22.11"/>
      <sheetName val="24.11"/>
      <sheetName val="26.11"/>
      <sheetName val="28.11"/>
      <sheetName val="30.11"/>
      <sheetName val="2.12"/>
      <sheetName val="4.12"/>
      <sheetName val="6.12"/>
      <sheetName val="8.12"/>
      <sheetName val="9.12"/>
      <sheetName val="10.12"/>
      <sheetName val="12.10"/>
      <sheetName val="14.12"/>
      <sheetName val="16.12"/>
      <sheetName val="18.12"/>
      <sheetName val="20.12"/>
      <sheetName val="22.12"/>
      <sheetName val="24.12"/>
      <sheetName val="26.12"/>
      <sheetName val="28.12"/>
      <sheetName val="30.12"/>
      <sheetName val="3.01"/>
      <sheetName val="5.01"/>
      <sheetName val="7.01"/>
      <sheetName val="9.01"/>
      <sheetName val="11.01"/>
      <sheetName val="13.01"/>
      <sheetName val="15.01"/>
      <sheetName val="17.01"/>
      <sheetName val="19.01"/>
      <sheetName val="21.01"/>
      <sheetName val="23.01"/>
      <sheetName val="25.01"/>
      <sheetName val="28.01"/>
      <sheetName val="30.01"/>
      <sheetName val="1.02"/>
      <sheetName val="3.02"/>
      <sheetName val="5.02"/>
      <sheetName val="7.02"/>
      <sheetName val="9.02"/>
      <sheetName val="11.02"/>
      <sheetName val="13.02"/>
      <sheetName val="15.02"/>
      <sheetName val="17.02"/>
      <sheetName val="19.02"/>
      <sheetName val="21.02"/>
      <sheetName val="23.02"/>
      <sheetName val="25.02"/>
      <sheetName val="27.02"/>
      <sheetName val="1.03"/>
      <sheetName val="3.03"/>
      <sheetName val="5.03"/>
      <sheetName val="7.03"/>
      <sheetName val="9.03"/>
      <sheetName val="11.03"/>
      <sheetName val="13.03"/>
      <sheetName val="15.03"/>
      <sheetName val="17.03"/>
      <sheetName val="19.03"/>
      <sheetName val="21.03"/>
      <sheetName val="23.03"/>
      <sheetName val="25.03"/>
      <sheetName val="27.03"/>
      <sheetName val="29.03"/>
      <sheetName val="30.03"/>
      <sheetName val="31.03"/>
      <sheetName val="2.04"/>
      <sheetName val="4.04"/>
      <sheetName val="6.04"/>
      <sheetName val="8.04"/>
      <sheetName val="10.04"/>
      <sheetName val="12.04"/>
      <sheetName val="14.04"/>
      <sheetName val="16.04"/>
      <sheetName val="18.04"/>
      <sheetName val="20.04"/>
      <sheetName val="22.04"/>
      <sheetName val="24.04"/>
      <sheetName val="26.04"/>
      <sheetName val="28.04"/>
      <sheetName val="30.04"/>
      <sheetName val="2.05"/>
      <sheetName val="4.05"/>
      <sheetName val="6.05"/>
      <sheetName val="8.05"/>
      <sheetName val="10.05"/>
      <sheetName val="12.05"/>
      <sheetName val="14.05"/>
      <sheetName val="16.05"/>
      <sheetName val="18.05"/>
      <sheetName val="20.05"/>
      <sheetName val="22.05"/>
      <sheetName val="24.05"/>
      <sheetName val="26.05"/>
      <sheetName val="28.05"/>
      <sheetName val="30.05"/>
      <sheetName val="1.06"/>
      <sheetName val="3.06"/>
      <sheetName val="5.06"/>
      <sheetName val="7.06"/>
      <sheetName val="9.06"/>
      <sheetName val="11.06"/>
      <sheetName val="13.06"/>
      <sheetName val="15.06"/>
      <sheetName val="17.06"/>
      <sheetName val="19.06"/>
      <sheetName val="21.06"/>
      <sheetName val="23.06"/>
      <sheetName val="25.06"/>
      <sheetName val="27.06"/>
      <sheetName val="29.06"/>
      <sheetName val="1.07"/>
      <sheetName val="3.07"/>
      <sheetName val="5.07"/>
      <sheetName val="7.07"/>
      <sheetName val="9.07"/>
      <sheetName val="11.07"/>
      <sheetName val="13.07"/>
      <sheetName val="15.07"/>
      <sheetName val="17.07"/>
      <sheetName val="19.07"/>
      <sheetName val="21.07"/>
      <sheetName val="23.07"/>
      <sheetName val="25,07"/>
      <sheetName val="27,07"/>
      <sheetName val="29,07"/>
      <sheetName val="31,07"/>
      <sheetName val="2.08"/>
      <sheetName val="4,08"/>
      <sheetName val="6.08"/>
      <sheetName val="8,08"/>
      <sheetName val="10,08"/>
      <sheetName val="12,08"/>
      <sheetName val="14,08"/>
      <sheetName val="16,08"/>
      <sheetName val="18,08"/>
      <sheetName val="20.08"/>
      <sheetName val="22,08"/>
      <sheetName val="24,08"/>
      <sheetName val="26,08"/>
      <sheetName val="28,08"/>
      <sheetName val="30,08"/>
      <sheetName val="1.09"/>
      <sheetName val="3,09"/>
      <sheetName val="5,09"/>
      <sheetName val="7,09"/>
      <sheetName val="9,09"/>
      <sheetName val="11,09"/>
      <sheetName val="13.,09"/>
      <sheetName val="15,09"/>
      <sheetName val="17,09"/>
      <sheetName val="19,09"/>
      <sheetName val="21,09"/>
      <sheetName val="23,09"/>
      <sheetName val="х"/>
      <sheetName val="25,09"/>
      <sheetName val="27,09"/>
      <sheetName val="29,09"/>
      <sheetName val="1,10"/>
      <sheetName val="3,10"/>
      <sheetName val="5,10"/>
      <sheetName val="7,10"/>
      <sheetName val="9,10"/>
      <sheetName val="11,10"/>
      <sheetName val="13,10"/>
      <sheetName val="15,10"/>
      <sheetName val="17,10"/>
      <sheetName val="19,10"/>
      <sheetName val="21,10"/>
      <sheetName val="22,10"/>
      <sheetName val="23,10"/>
      <sheetName val="25,10"/>
      <sheetName val="27,10"/>
      <sheetName val="29,10"/>
      <sheetName val="31,10"/>
      <sheetName val="2,11"/>
      <sheetName val="4,11"/>
      <sheetName val="6.11"/>
      <sheetName val="8,11"/>
      <sheetName val="10,11"/>
      <sheetName val="12,11"/>
      <sheetName val="14,11"/>
      <sheetName val="16,11"/>
      <sheetName val="18,11"/>
      <sheetName val="20,11"/>
      <sheetName val="22,11"/>
      <sheetName val="Лист21"/>
      <sheetName val="26,11"/>
      <sheetName val="28,11"/>
      <sheetName val="30,11"/>
      <sheetName val="2,12"/>
      <sheetName val="4,12"/>
      <sheetName val="6,12"/>
      <sheetName val="8,12"/>
      <sheetName val="10,12"/>
      <sheetName val="12,12"/>
      <sheetName val="Лист10"/>
      <sheetName val="Лист1"/>
      <sheetName val="Лист2"/>
      <sheetName val="Лист3"/>
      <sheetName val="Лист4"/>
      <sheetName val="Лист5"/>
      <sheetName val="Лист6"/>
      <sheetName val="Лист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>
        <row r="2">
          <cell r="B2" t="str">
            <v>Немирофф 1л</v>
          </cell>
        </row>
        <row r="3">
          <cell r="B3" t="str">
            <v>Немирофф 0,7</v>
          </cell>
        </row>
        <row r="4">
          <cell r="B4" t="str">
            <v>Немирофф 0,5</v>
          </cell>
        </row>
        <row r="6">
          <cell r="B6" t="str">
            <v>Зерно 0,7</v>
          </cell>
        </row>
        <row r="8">
          <cell r="B8" t="str">
            <v>Хортица 1 л</v>
          </cell>
        </row>
        <row r="9">
          <cell r="B9" t="str">
            <v xml:space="preserve">Хортица 0,7 </v>
          </cell>
        </row>
        <row r="10">
          <cell r="B10" t="str">
            <v>Хортица 0,5</v>
          </cell>
        </row>
        <row r="11">
          <cell r="B11" t="str">
            <v>Зеленая марка 1л</v>
          </cell>
        </row>
        <row r="12">
          <cell r="B12" t="str">
            <v>Зеленая марка 0,7</v>
          </cell>
        </row>
        <row r="13">
          <cell r="B13" t="str">
            <v>Зеленая марка 0,5</v>
          </cell>
        </row>
        <row r="14">
          <cell r="B14" t="str">
            <v>Хаома 1л</v>
          </cell>
        </row>
        <row r="15">
          <cell r="B15" t="str">
            <v>Хаома 0,7</v>
          </cell>
        </row>
        <row r="16">
          <cell r="B16" t="str">
            <v>Хаома 0,5</v>
          </cell>
        </row>
        <row r="17">
          <cell r="B17" t="str">
            <v>JACK DANIELS 1л</v>
          </cell>
        </row>
        <row r="18">
          <cell r="B18" t="str">
            <v>JACK DANIELS 0,7</v>
          </cell>
        </row>
        <row r="19">
          <cell r="B19" t="str">
            <v>JACK DANIELS 0,5</v>
          </cell>
        </row>
        <row r="20">
          <cell r="B20" t="str">
            <v xml:space="preserve">JAMESON 1л </v>
          </cell>
        </row>
        <row r="21">
          <cell r="B21" t="str">
            <v>JAMESON 0,7</v>
          </cell>
        </row>
        <row r="22">
          <cell r="B22" t="str">
            <v>JAMESON 0,5</v>
          </cell>
        </row>
        <row r="23">
          <cell r="B23" t="str">
            <v>Скотч 0,7</v>
          </cell>
        </row>
        <row r="24">
          <cell r="B24" t="str">
            <v>Скотч 0,5</v>
          </cell>
        </row>
        <row r="25">
          <cell r="B25" t="str">
            <v>Ром 1л</v>
          </cell>
        </row>
        <row r="30">
          <cell r="B30" t="str">
            <v>Алазанская долина</v>
          </cell>
        </row>
        <row r="31">
          <cell r="B31" t="str">
            <v>Бахус</v>
          </cell>
        </row>
        <row r="32">
          <cell r="B32" t="str">
            <v>Изуми</v>
          </cell>
        </row>
        <row r="33">
          <cell r="B33" t="str">
            <v>Киндзмараули</v>
          </cell>
        </row>
        <row r="34">
          <cell r="B34" t="str">
            <v>Ркацетели</v>
          </cell>
        </row>
        <row r="35">
          <cell r="B35" t="str">
            <v>Шампанское</v>
          </cell>
        </row>
        <row r="36">
          <cell r="B36" t="str">
            <v>Мартини 1л</v>
          </cell>
        </row>
        <row r="38">
          <cell r="B38" t="str">
            <v>Балтика 0</v>
          </cell>
        </row>
        <row r="39">
          <cell r="B39" t="str">
            <v>Балтика 5,7</v>
          </cell>
        </row>
        <row r="40">
          <cell r="B40" t="str">
            <v>Самерсби</v>
          </cell>
        </row>
        <row r="41">
          <cell r="B41" t="str">
            <v>Кружка свежего</v>
          </cell>
        </row>
        <row r="42">
          <cell r="B42" t="str">
            <v>Козел</v>
          </cell>
        </row>
        <row r="43">
          <cell r="B43" t="str">
            <v>Миллер</v>
          </cell>
        </row>
        <row r="44">
          <cell r="B44" t="str">
            <v>Бавария</v>
          </cell>
        </row>
        <row r="45">
          <cell r="B45" t="str">
            <v>Жатецкий гусь</v>
          </cell>
        </row>
        <row r="46">
          <cell r="B46" t="str">
            <v>Бланк</v>
          </cell>
        </row>
        <row r="48">
          <cell r="B48" t="str">
            <v>Дизи</v>
          </cell>
        </row>
        <row r="49">
          <cell r="B49" t="str">
            <v>Чай черный</v>
          </cell>
        </row>
        <row r="50">
          <cell r="B50" t="str">
            <v>Чай зеленый</v>
          </cell>
        </row>
        <row r="51">
          <cell r="B51" t="str">
            <v xml:space="preserve">кофе </v>
          </cell>
        </row>
        <row r="52">
          <cell r="B52" t="str">
            <v>капсулы</v>
          </cell>
        </row>
        <row r="53">
          <cell r="B53" t="str">
            <v>шоколад</v>
          </cell>
        </row>
        <row r="54">
          <cell r="B54" t="str">
            <v>сникерс</v>
          </cell>
        </row>
        <row r="55">
          <cell r="B55" t="str">
            <v>орбит</v>
          </cell>
        </row>
        <row r="56">
          <cell r="B56" t="str">
            <v>спички</v>
          </cell>
        </row>
        <row r="57">
          <cell r="B57" t="str">
            <v>зажигалки</v>
          </cell>
        </row>
        <row r="58">
          <cell r="B58" t="str">
            <v>Парламент</v>
          </cell>
        </row>
        <row r="59">
          <cell r="B59" t="str">
            <v>Кент</v>
          </cell>
        </row>
        <row r="60">
          <cell r="B60" t="str">
            <v>ЛМ</v>
          </cell>
        </row>
        <row r="61">
          <cell r="B61" t="str">
            <v>Лимонад</v>
          </cell>
        </row>
        <row r="62">
          <cell r="B62" t="str">
            <v>Сок</v>
          </cell>
        </row>
        <row r="63">
          <cell r="B63" t="str">
            <v>Кола Пепси 1л</v>
          </cell>
        </row>
        <row r="64">
          <cell r="B64" t="str">
            <v>Кола 0,5</v>
          </cell>
        </row>
        <row r="65">
          <cell r="B65" t="str">
            <v>Спрайт 1л</v>
          </cell>
        </row>
        <row r="66">
          <cell r="B66" t="str">
            <v>Фанта 1л</v>
          </cell>
        </row>
        <row r="67">
          <cell r="B67" t="str">
            <v>Мин.вода 1л</v>
          </cell>
        </row>
        <row r="68">
          <cell r="B68" t="str">
            <v>Мин.вода 0,5</v>
          </cell>
        </row>
        <row r="69">
          <cell r="B69" t="str">
            <v>Компот</v>
          </cell>
        </row>
        <row r="70">
          <cell r="B70" t="str">
            <v>Моохито</v>
          </cell>
        </row>
        <row r="71">
          <cell r="B71" t="str">
            <v>Курт маленький</v>
          </cell>
        </row>
        <row r="72">
          <cell r="B72" t="str">
            <v>Кириешки маленькие</v>
          </cell>
        </row>
        <row r="73">
          <cell r="B73" t="str">
            <v>Кириешки с соусом</v>
          </cell>
        </row>
        <row r="74">
          <cell r="B74" t="str">
            <v>Кириешки большие</v>
          </cell>
        </row>
        <row r="75">
          <cell r="B75" t="str">
            <v>Чипсы большие</v>
          </cell>
        </row>
        <row r="76">
          <cell r="B76" t="str">
            <v>Чипсы средние</v>
          </cell>
        </row>
        <row r="77">
          <cell r="B77" t="str">
            <v>Арахис большой</v>
          </cell>
        </row>
        <row r="78">
          <cell r="B78" t="str">
            <v>Арахис маленький</v>
          </cell>
        </row>
        <row r="79">
          <cell r="B79" t="str">
            <v>Фисташки</v>
          </cell>
        </row>
        <row r="80">
          <cell r="B80" t="str">
            <v>Караван большой</v>
          </cell>
        </row>
        <row r="81">
          <cell r="B81" t="str">
            <v>Караван маленький</v>
          </cell>
        </row>
        <row r="82">
          <cell r="B82" t="str">
            <v>луковые кольца</v>
          </cell>
        </row>
        <row r="83">
          <cell r="B83" t="str">
            <v>Чечел</v>
          </cell>
        </row>
        <row r="84">
          <cell r="B84" t="str">
            <v>рыба</v>
          </cell>
        </row>
        <row r="85">
          <cell r="B85" t="str">
            <v>Жигули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21.01"/>
      <sheetName val="23.01"/>
      <sheetName val="25.01"/>
      <sheetName val="27.01"/>
      <sheetName val="29.01"/>
      <sheetName val="31.01"/>
      <sheetName val="2.02"/>
      <sheetName val="4.02"/>
      <sheetName val="6.02"/>
      <sheetName val="8.02"/>
      <sheetName val="10.02"/>
      <sheetName val="12.02"/>
      <sheetName val="14.02"/>
      <sheetName val="16.02"/>
      <sheetName val="18.02"/>
      <sheetName val="20.02"/>
      <sheetName val="22.02"/>
      <sheetName val="24.02"/>
      <sheetName val="26.02"/>
      <sheetName val="28.02"/>
      <sheetName val="2.03"/>
      <sheetName val="4.03"/>
      <sheetName val="6.03"/>
      <sheetName val="8.03"/>
      <sheetName val="10.03"/>
      <sheetName val="12.03"/>
      <sheetName val="14.03"/>
      <sheetName val="16.03"/>
      <sheetName val="18.03"/>
      <sheetName val="20.03"/>
      <sheetName val="22.03"/>
      <sheetName val="24.03"/>
      <sheetName val="26.03"/>
      <sheetName val="28.03"/>
      <sheetName val="30.03"/>
      <sheetName val="1.04"/>
      <sheetName val="3.04"/>
      <sheetName val="5.04"/>
      <sheetName val="7.04"/>
      <sheetName val="9.04"/>
      <sheetName val="11.04"/>
      <sheetName val="13.04"/>
      <sheetName val="15.04"/>
      <sheetName val="17.04"/>
      <sheetName val="19.04"/>
      <sheetName val="21.04"/>
      <sheetName val="23.04"/>
      <sheetName val="25.04"/>
      <sheetName val="27.04"/>
      <sheetName val="29.04"/>
      <sheetName val="1.05"/>
      <sheetName val="3.05"/>
      <sheetName val="5.05"/>
      <sheetName val="7.05"/>
      <sheetName val="9.05"/>
      <sheetName val="11.05"/>
      <sheetName val="13.05"/>
      <sheetName val="15.05"/>
      <sheetName val="17.05"/>
      <sheetName val="19.05"/>
      <sheetName val="21.05"/>
      <sheetName val="23.05"/>
      <sheetName val="26.05"/>
      <sheetName val="27.05"/>
      <sheetName val="29.05"/>
      <sheetName val="31.05"/>
      <sheetName val="2.06"/>
      <sheetName val="4.06"/>
      <sheetName val="6.05"/>
      <sheetName val="8.06"/>
      <sheetName val="9.06"/>
      <sheetName val="11.06"/>
      <sheetName val="13.06"/>
      <sheetName val="15.06"/>
      <sheetName val="17.06"/>
      <sheetName val="20.06"/>
      <sheetName val="21.06"/>
      <sheetName val="22.06"/>
      <sheetName val="23.06"/>
      <sheetName val="25.06"/>
      <sheetName val="27.06"/>
      <sheetName val="29.06"/>
      <sheetName val="1.06"/>
      <sheetName val="4 .07"/>
      <sheetName val="6.07"/>
      <sheetName val="7.07"/>
      <sheetName val="10.07"/>
      <sheetName val="12.07"/>
      <sheetName val="14.07"/>
      <sheetName val="17.07"/>
      <sheetName val="18.07"/>
      <sheetName val="20.07"/>
      <sheetName val="21.07"/>
      <sheetName val="23.07"/>
      <sheetName val="25.07"/>
      <sheetName val="27.07"/>
      <sheetName val="28.07"/>
      <sheetName val="29.07"/>
      <sheetName val="Лист3"/>
      <sheetName val="Лист4"/>
      <sheetName val="Лист5"/>
      <sheetName val="Лист6"/>
      <sheetName val="Лист7"/>
      <sheetName val="Лист8"/>
      <sheetName val="Лист9"/>
      <sheetName val="Лист10"/>
      <sheetName val="Лист11"/>
      <sheetName val="Лист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2">
          <cell r="I2">
            <v>2.85</v>
          </cell>
        </row>
        <row r="3">
          <cell r="I3">
            <v>6.0000000000000009</v>
          </cell>
        </row>
        <row r="4">
          <cell r="I4">
            <v>6</v>
          </cell>
        </row>
        <row r="5">
          <cell r="I5">
            <v>0</v>
          </cell>
        </row>
        <row r="6">
          <cell r="I6">
            <v>3.2</v>
          </cell>
        </row>
        <row r="7">
          <cell r="I7">
            <v>7.3</v>
          </cell>
        </row>
        <row r="8">
          <cell r="I8">
            <v>3.4000000000000004</v>
          </cell>
        </row>
        <row r="9">
          <cell r="I9">
            <v>7</v>
          </cell>
        </row>
        <row r="10">
          <cell r="I10">
            <v>9</v>
          </cell>
        </row>
        <row r="11">
          <cell r="I11">
            <v>1.3</v>
          </cell>
        </row>
        <row r="12">
          <cell r="I12">
            <v>5</v>
          </cell>
        </row>
        <row r="13">
          <cell r="I13">
            <v>3</v>
          </cell>
        </row>
        <row r="14">
          <cell r="I14">
            <v>1.8500000000000003</v>
          </cell>
        </row>
        <row r="15">
          <cell r="I15">
            <v>4</v>
          </cell>
        </row>
        <row r="16">
          <cell r="I16">
            <v>3</v>
          </cell>
        </row>
        <row r="17">
          <cell r="I17">
            <v>2.0000000000000004</v>
          </cell>
        </row>
        <row r="18">
          <cell r="I18">
            <v>0</v>
          </cell>
        </row>
        <row r="19">
          <cell r="I19">
            <v>1.4</v>
          </cell>
        </row>
        <row r="20">
          <cell r="I20">
            <v>2</v>
          </cell>
        </row>
        <row r="21">
          <cell r="I21">
            <v>1</v>
          </cell>
        </row>
        <row r="22">
          <cell r="I22">
            <v>0.79999999999999993</v>
          </cell>
        </row>
        <row r="23">
          <cell r="I23">
            <v>2</v>
          </cell>
        </row>
        <row r="24">
          <cell r="I24">
            <v>2</v>
          </cell>
        </row>
        <row r="25">
          <cell r="I25">
            <v>2.4</v>
          </cell>
        </row>
        <row r="26">
          <cell r="I26">
            <v>3</v>
          </cell>
        </row>
        <row r="27">
          <cell r="I27">
            <v>1.2499999999999998</v>
          </cell>
        </row>
        <row r="28">
          <cell r="I28">
            <v>2</v>
          </cell>
        </row>
        <row r="29">
          <cell r="I29">
            <v>2</v>
          </cell>
        </row>
        <row r="30">
          <cell r="I30">
            <v>2.7</v>
          </cell>
        </row>
        <row r="31">
          <cell r="I31">
            <v>2</v>
          </cell>
        </row>
        <row r="32">
          <cell r="I32">
            <v>8</v>
          </cell>
        </row>
        <row r="33">
          <cell r="I33">
            <v>3</v>
          </cell>
        </row>
        <row r="34">
          <cell r="I34">
            <v>2</v>
          </cell>
        </row>
        <row r="35">
          <cell r="I35">
            <v>0</v>
          </cell>
        </row>
        <row r="36">
          <cell r="I36">
            <v>3</v>
          </cell>
        </row>
        <row r="37">
          <cell r="I37">
            <v>0</v>
          </cell>
        </row>
        <row r="38">
          <cell r="I38">
            <v>0.85000000000000009</v>
          </cell>
        </row>
        <row r="39">
          <cell r="I39">
            <v>11</v>
          </cell>
        </row>
        <row r="40">
          <cell r="I40">
            <v>14</v>
          </cell>
        </row>
        <row r="41">
          <cell r="I41">
            <v>38</v>
          </cell>
        </row>
        <row r="42">
          <cell r="I42">
            <v>5</v>
          </cell>
        </row>
        <row r="43">
          <cell r="I43">
            <v>122</v>
          </cell>
        </row>
        <row r="44">
          <cell r="I44">
            <v>0</v>
          </cell>
        </row>
        <row r="45">
          <cell r="I45">
            <v>17</v>
          </cell>
        </row>
        <row r="46">
          <cell r="I46">
            <v>0</v>
          </cell>
        </row>
        <row r="47">
          <cell r="I47">
            <v>39</v>
          </cell>
        </row>
        <row r="48">
          <cell r="I48">
            <v>12</v>
          </cell>
        </row>
        <row r="49">
          <cell r="I49">
            <v>9</v>
          </cell>
        </row>
        <row r="50">
          <cell r="I50">
            <v>12</v>
          </cell>
        </row>
        <row r="51">
          <cell r="I51">
            <v>30</v>
          </cell>
        </row>
        <row r="52">
          <cell r="I52">
            <v>8</v>
          </cell>
        </row>
        <row r="53">
          <cell r="I53">
            <v>93</v>
          </cell>
        </row>
        <row r="54">
          <cell r="I54">
            <v>88</v>
          </cell>
        </row>
        <row r="55">
          <cell r="I55">
            <v>28</v>
          </cell>
        </row>
        <row r="56">
          <cell r="I56">
            <v>13</v>
          </cell>
        </row>
        <row r="57">
          <cell r="I57">
            <v>15</v>
          </cell>
        </row>
        <row r="58">
          <cell r="I58">
            <v>3</v>
          </cell>
        </row>
        <row r="59">
          <cell r="I59">
            <v>6</v>
          </cell>
        </row>
        <row r="60">
          <cell r="I60">
            <v>10</v>
          </cell>
        </row>
        <row r="61">
          <cell r="I61">
            <v>12</v>
          </cell>
        </row>
        <row r="62">
          <cell r="I62">
            <v>6</v>
          </cell>
        </row>
        <row r="63">
          <cell r="I63">
            <v>0</v>
          </cell>
        </row>
        <row r="64">
          <cell r="I64">
            <v>9</v>
          </cell>
        </row>
        <row r="65">
          <cell r="I65">
            <v>17</v>
          </cell>
        </row>
        <row r="66">
          <cell r="I66">
            <v>40.024999999999999</v>
          </cell>
        </row>
        <row r="67">
          <cell r="I67">
            <v>78</v>
          </cell>
        </row>
        <row r="68">
          <cell r="I68">
            <v>19</v>
          </cell>
        </row>
        <row r="69">
          <cell r="I69">
            <v>12</v>
          </cell>
        </row>
        <row r="70">
          <cell r="I70">
            <v>8</v>
          </cell>
        </row>
        <row r="71">
          <cell r="I71">
            <v>89</v>
          </cell>
        </row>
        <row r="72">
          <cell r="I72">
            <v>34</v>
          </cell>
        </row>
        <row r="73">
          <cell r="I73">
            <v>0.25</v>
          </cell>
        </row>
        <row r="74">
          <cell r="I74">
            <v>14</v>
          </cell>
        </row>
        <row r="75">
          <cell r="I75">
            <v>14</v>
          </cell>
        </row>
        <row r="76">
          <cell r="I76">
            <v>18</v>
          </cell>
        </row>
        <row r="77">
          <cell r="I77">
            <v>67</v>
          </cell>
        </row>
        <row r="78">
          <cell r="I78">
            <v>38</v>
          </cell>
        </row>
        <row r="79">
          <cell r="I79">
            <v>21</v>
          </cell>
        </row>
        <row r="80">
          <cell r="I80">
            <v>30</v>
          </cell>
        </row>
        <row r="81">
          <cell r="I81">
            <v>47</v>
          </cell>
        </row>
        <row r="82">
          <cell r="I82">
            <v>45</v>
          </cell>
        </row>
        <row r="83">
          <cell r="I83">
            <v>35</v>
          </cell>
        </row>
        <row r="84">
          <cell r="I84">
            <v>27</v>
          </cell>
        </row>
        <row r="85">
          <cell r="I85">
            <v>0</v>
          </cell>
        </row>
        <row r="86">
          <cell r="I86">
            <v>0</v>
          </cell>
        </row>
        <row r="87">
          <cell r="I87">
            <v>8</v>
          </cell>
        </row>
        <row r="88">
          <cell r="I88">
            <v>41</v>
          </cell>
        </row>
        <row r="89">
          <cell r="I89">
            <v>171.50000000000011</v>
          </cell>
        </row>
        <row r="90">
          <cell r="I90">
            <v>0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</sheetData>
      <sheetData sheetId="10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"/>
  <sheetViews>
    <sheetView tabSelected="1" topLeftCell="A73" workbookViewId="0">
      <selection activeCell="Q16" sqref="Q16"/>
    </sheetView>
  </sheetViews>
  <sheetFormatPr defaultColWidth="14.44140625" defaultRowHeight="14.4" x14ac:dyDescent="0.3"/>
  <cols>
    <col min="1" max="1" width="3.6640625" style="2" bestFit="1" customWidth="1"/>
    <col min="2" max="2" width="19.77734375" style="2" bestFit="1" customWidth="1"/>
    <col min="3" max="3" width="9.21875" style="2" bestFit="1" customWidth="1"/>
    <col min="4" max="4" width="8.88671875" style="2" bestFit="1" customWidth="1"/>
    <col min="5" max="5" width="16.21875" style="2" bestFit="1" customWidth="1"/>
    <col min="6" max="8" width="8.5546875" style="2" bestFit="1" customWidth="1"/>
    <col min="9" max="9" width="9.21875" style="2" bestFit="1" customWidth="1"/>
    <col min="10" max="26" width="8.6640625" style="2" customWidth="1"/>
    <col min="27" max="16384" width="14.44140625" style="2"/>
  </cols>
  <sheetData>
    <row r="1" spans="1:26" ht="14.25" customHeight="1" x14ac:dyDescent="0.35">
      <c r="A1" s="7" t="s">
        <v>0</v>
      </c>
      <c r="B1" s="7" t="s">
        <v>1</v>
      </c>
      <c r="C1" s="7" t="s">
        <v>2</v>
      </c>
      <c r="D1" s="7" t="s">
        <v>15</v>
      </c>
      <c r="E1" s="7" t="s">
        <v>16</v>
      </c>
      <c r="F1" s="7" t="s">
        <v>17</v>
      </c>
      <c r="G1" s="7" t="s">
        <v>17</v>
      </c>
      <c r="H1" s="7" t="s">
        <v>17</v>
      </c>
      <c r="I1" s="7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6">
        <v>1</v>
      </c>
      <c r="B2" s="6" t="str">
        <f>'[1]28.01'!B2</f>
        <v>Немирофф 1л</v>
      </c>
      <c r="C2" s="6">
        <f>[2]Лист11!I2</f>
        <v>2.85</v>
      </c>
      <c r="D2" s="6"/>
      <c r="E2" s="6"/>
      <c r="F2" s="6"/>
      <c r="G2" s="6"/>
      <c r="H2" s="6"/>
      <c r="I2" s="6">
        <f>C2+D2-E2-F2-G2-H2</f>
        <v>2.85</v>
      </c>
    </row>
    <row r="3" spans="1:26" ht="14.25" customHeight="1" x14ac:dyDescent="0.3">
      <c r="A3" s="3">
        <v>2</v>
      </c>
      <c r="B3" s="3" t="str">
        <f>'[1]28.01'!B3</f>
        <v>Немирофф 0,7</v>
      </c>
      <c r="C3" s="3">
        <f>[2]Лист11!I3</f>
        <v>6.0000000000000009</v>
      </c>
      <c r="D3" s="3"/>
      <c r="E3" s="3"/>
      <c r="F3" s="3"/>
      <c r="G3" s="3"/>
      <c r="H3" s="3"/>
      <c r="I3" s="3">
        <f t="shared" ref="I3:I66" si="0">C3+D3-E3-F3-G3-H3</f>
        <v>6.0000000000000009</v>
      </c>
    </row>
    <row r="4" spans="1:26" ht="14.25" customHeight="1" x14ac:dyDescent="0.3">
      <c r="A4" s="3">
        <v>3</v>
      </c>
      <c r="B4" s="3" t="str">
        <f>'[1]28.01'!B4</f>
        <v>Немирофф 0,5</v>
      </c>
      <c r="C4" s="3">
        <f>[2]Лист11!I4</f>
        <v>6</v>
      </c>
      <c r="D4" s="3"/>
      <c r="E4" s="3"/>
      <c r="F4" s="3"/>
      <c r="G4" s="3"/>
      <c r="H4" s="3"/>
      <c r="I4" s="3">
        <f t="shared" si="0"/>
        <v>6</v>
      </c>
    </row>
    <row r="5" spans="1:26" ht="14.25" customHeight="1" x14ac:dyDescent="0.3">
      <c r="A5" s="3">
        <v>4</v>
      </c>
      <c r="B5" s="3" t="s">
        <v>3</v>
      </c>
      <c r="C5" s="3">
        <f>[2]Лист11!I5</f>
        <v>0</v>
      </c>
      <c r="D5" s="3"/>
      <c r="E5" s="3"/>
      <c r="F5" s="3"/>
      <c r="G5" s="3"/>
      <c r="H5" s="3"/>
      <c r="I5" s="3">
        <f t="shared" si="0"/>
        <v>0</v>
      </c>
    </row>
    <row r="6" spans="1:26" ht="14.25" customHeight="1" x14ac:dyDescent="0.3">
      <c r="A6" s="3">
        <v>5</v>
      </c>
      <c r="B6" s="3" t="str">
        <f>'[1]28.01'!B6</f>
        <v>Зерно 0,7</v>
      </c>
      <c r="C6" s="3">
        <f>[2]Лист11!I6</f>
        <v>3.2</v>
      </c>
      <c r="D6" s="3"/>
      <c r="E6" s="3"/>
      <c r="F6" s="3"/>
      <c r="G6" s="3"/>
      <c r="H6" s="3"/>
      <c r="I6" s="3">
        <f t="shared" si="0"/>
        <v>3.2</v>
      </c>
    </row>
    <row r="7" spans="1:26" ht="14.25" customHeight="1" x14ac:dyDescent="0.3">
      <c r="A7" s="3">
        <v>6</v>
      </c>
      <c r="B7" s="3" t="s">
        <v>4</v>
      </c>
      <c r="C7" s="3">
        <f>[2]Лист11!I7</f>
        <v>7.3</v>
      </c>
      <c r="D7" s="3"/>
      <c r="E7" s="3"/>
      <c r="F7" s="3"/>
      <c r="G7" s="3"/>
      <c r="H7" s="3"/>
      <c r="I7" s="3">
        <f t="shared" si="0"/>
        <v>7.3</v>
      </c>
    </row>
    <row r="8" spans="1:26" ht="14.25" customHeight="1" x14ac:dyDescent="0.3">
      <c r="A8" s="3">
        <v>7</v>
      </c>
      <c r="B8" s="3" t="str">
        <f>'[1]28.01'!B8</f>
        <v>Хортица 1 л</v>
      </c>
      <c r="C8" s="3">
        <f>[2]Лист11!I8</f>
        <v>3.4000000000000004</v>
      </c>
      <c r="D8" s="3"/>
      <c r="E8" s="3"/>
      <c r="F8" s="3"/>
      <c r="G8" s="3"/>
      <c r="H8" s="3"/>
      <c r="I8" s="3">
        <f t="shared" si="0"/>
        <v>3.4000000000000004</v>
      </c>
    </row>
    <row r="9" spans="1:26" ht="14.25" customHeight="1" x14ac:dyDescent="0.3">
      <c r="A9" s="3">
        <v>8</v>
      </c>
      <c r="B9" s="3" t="str">
        <f>'[1]28.01'!B9</f>
        <v xml:space="preserve">Хортица 0,7 </v>
      </c>
      <c r="C9" s="3">
        <f>[2]Лист11!I9</f>
        <v>7</v>
      </c>
      <c r="D9" s="3"/>
      <c r="E9" s="3"/>
      <c r="F9" s="3"/>
      <c r="G9" s="3"/>
      <c r="H9" s="3"/>
      <c r="I9" s="3">
        <f t="shared" si="0"/>
        <v>7</v>
      </c>
    </row>
    <row r="10" spans="1:26" ht="14.25" customHeight="1" x14ac:dyDescent="0.3">
      <c r="A10" s="3">
        <v>9</v>
      </c>
      <c r="B10" s="3" t="str">
        <f>'[1]28.01'!B10</f>
        <v>Хортица 0,5</v>
      </c>
      <c r="C10" s="3">
        <f>[2]Лист11!I10</f>
        <v>9</v>
      </c>
      <c r="D10" s="3"/>
      <c r="E10" s="3"/>
      <c r="F10" s="3"/>
      <c r="G10" s="3"/>
      <c r="H10" s="3"/>
      <c r="I10" s="3">
        <f t="shared" si="0"/>
        <v>9</v>
      </c>
    </row>
    <row r="11" spans="1:26" ht="14.25" customHeight="1" x14ac:dyDescent="0.3">
      <c r="A11" s="3">
        <v>10</v>
      </c>
      <c r="B11" s="3" t="str">
        <f>'[1]28.01'!B11</f>
        <v>Зеленая марка 1л</v>
      </c>
      <c r="C11" s="3">
        <f>[2]Лист11!I11</f>
        <v>1.3</v>
      </c>
      <c r="D11" s="3"/>
      <c r="E11" s="3"/>
      <c r="F11" s="3"/>
      <c r="G11" s="3"/>
      <c r="H11" s="3"/>
      <c r="I11" s="3">
        <f t="shared" si="0"/>
        <v>1.3</v>
      </c>
    </row>
    <row r="12" spans="1:26" ht="14.25" customHeight="1" x14ac:dyDescent="0.3">
      <c r="A12" s="3">
        <v>11</v>
      </c>
      <c r="B12" s="3" t="str">
        <f>'[1]28.01'!B12</f>
        <v>Зеленая марка 0,7</v>
      </c>
      <c r="C12" s="3">
        <f>[2]Лист11!I12</f>
        <v>5</v>
      </c>
      <c r="D12" s="3"/>
      <c r="E12" s="3"/>
      <c r="F12" s="3"/>
      <c r="G12" s="3"/>
      <c r="H12" s="3"/>
      <c r="I12" s="3">
        <f t="shared" si="0"/>
        <v>5</v>
      </c>
    </row>
    <row r="13" spans="1:26" ht="14.25" customHeight="1" x14ac:dyDescent="0.3">
      <c r="A13" s="3">
        <v>12</v>
      </c>
      <c r="B13" s="3" t="str">
        <f>'[1]28.01'!B13</f>
        <v>Зеленая марка 0,5</v>
      </c>
      <c r="C13" s="3">
        <f>[2]Лист11!I13</f>
        <v>3</v>
      </c>
      <c r="D13" s="3"/>
      <c r="E13" s="3"/>
      <c r="F13" s="3"/>
      <c r="G13" s="3"/>
      <c r="H13" s="3"/>
      <c r="I13" s="3">
        <f t="shared" si="0"/>
        <v>3</v>
      </c>
    </row>
    <row r="14" spans="1:26" ht="14.25" customHeight="1" x14ac:dyDescent="0.3">
      <c r="A14" s="3">
        <v>13</v>
      </c>
      <c r="B14" s="3" t="str">
        <f>'[1]28.01'!B14</f>
        <v>Хаома 1л</v>
      </c>
      <c r="C14" s="3">
        <f>[2]Лист11!I14</f>
        <v>1.8500000000000003</v>
      </c>
      <c r="D14" s="3"/>
      <c r="E14" s="3"/>
      <c r="F14" s="3"/>
      <c r="G14" s="3"/>
      <c r="H14" s="3"/>
      <c r="I14" s="3">
        <f t="shared" si="0"/>
        <v>1.8500000000000003</v>
      </c>
    </row>
    <row r="15" spans="1:26" ht="14.25" customHeight="1" x14ac:dyDescent="0.3">
      <c r="A15" s="3">
        <v>14</v>
      </c>
      <c r="B15" s="3" t="str">
        <f>'[1]28.01'!B15</f>
        <v>Хаома 0,7</v>
      </c>
      <c r="C15" s="3">
        <f>[2]Лист11!I15</f>
        <v>4</v>
      </c>
      <c r="D15" s="3"/>
      <c r="E15" s="3"/>
      <c r="F15" s="3"/>
      <c r="G15" s="3"/>
      <c r="H15" s="3"/>
      <c r="I15" s="3">
        <f t="shared" si="0"/>
        <v>4</v>
      </c>
    </row>
    <row r="16" spans="1:26" ht="14.25" customHeight="1" x14ac:dyDescent="0.3">
      <c r="A16" s="3">
        <v>15</v>
      </c>
      <c r="B16" s="3" t="str">
        <f>'[1]28.01'!B16</f>
        <v>Хаома 0,5</v>
      </c>
      <c r="C16" s="3">
        <f>[2]Лист11!I16</f>
        <v>3</v>
      </c>
      <c r="D16" s="3"/>
      <c r="E16" s="3"/>
      <c r="F16" s="3"/>
      <c r="G16" s="3"/>
      <c r="H16" s="3"/>
      <c r="I16" s="3">
        <f t="shared" si="0"/>
        <v>3</v>
      </c>
    </row>
    <row r="17" spans="1:9" x14ac:dyDescent="0.3">
      <c r="A17" s="3">
        <v>16</v>
      </c>
      <c r="B17" s="3" t="s">
        <v>5</v>
      </c>
      <c r="C17" s="3">
        <f>[2]Лист11!I17</f>
        <v>2.0000000000000004</v>
      </c>
      <c r="D17" s="3"/>
      <c r="E17" s="3"/>
      <c r="F17" s="3"/>
      <c r="G17" s="3"/>
      <c r="H17" s="3"/>
      <c r="I17" s="3">
        <f t="shared" si="0"/>
        <v>2.0000000000000004</v>
      </c>
    </row>
    <row r="18" spans="1:9" x14ac:dyDescent="0.3">
      <c r="A18" s="3">
        <v>17</v>
      </c>
      <c r="B18" s="3" t="s">
        <v>6</v>
      </c>
      <c r="C18" s="3">
        <f>[2]Лист11!I18</f>
        <v>0</v>
      </c>
      <c r="D18" s="3"/>
      <c r="E18" s="3"/>
      <c r="F18" s="3"/>
      <c r="G18" s="3"/>
      <c r="H18" s="3"/>
      <c r="I18" s="3">
        <f t="shared" si="0"/>
        <v>0</v>
      </c>
    </row>
    <row r="19" spans="1:9" x14ac:dyDescent="0.3">
      <c r="A19" s="3">
        <v>18</v>
      </c>
      <c r="B19" s="3" t="str">
        <f>'[1]28.01'!B17</f>
        <v>JACK DANIELS 1л</v>
      </c>
      <c r="C19" s="3">
        <f>[2]Лист11!I19</f>
        <v>1.4</v>
      </c>
      <c r="D19" s="3"/>
      <c r="E19" s="3"/>
      <c r="F19" s="3"/>
      <c r="G19" s="3"/>
      <c r="H19" s="3"/>
      <c r="I19" s="3">
        <f t="shared" si="0"/>
        <v>1.4</v>
      </c>
    </row>
    <row r="20" spans="1:9" x14ac:dyDescent="0.3">
      <c r="A20" s="3">
        <v>19</v>
      </c>
      <c r="B20" s="3" t="str">
        <f>'[1]28.01'!B18</f>
        <v>JACK DANIELS 0,7</v>
      </c>
      <c r="C20" s="3">
        <f>[2]Лист11!I20</f>
        <v>2</v>
      </c>
      <c r="D20" s="3"/>
      <c r="E20" s="3"/>
      <c r="F20" s="3"/>
      <c r="G20" s="3"/>
      <c r="H20" s="3"/>
      <c r="I20" s="3">
        <f t="shared" si="0"/>
        <v>2</v>
      </c>
    </row>
    <row r="21" spans="1:9" x14ac:dyDescent="0.3">
      <c r="A21" s="3">
        <v>20</v>
      </c>
      <c r="B21" s="3" t="str">
        <f>'[1]28.01'!B19</f>
        <v>JACK DANIELS 0,5</v>
      </c>
      <c r="C21" s="3">
        <f>[2]Лист11!I21</f>
        <v>1</v>
      </c>
      <c r="D21" s="3"/>
      <c r="E21" s="3"/>
      <c r="F21" s="3"/>
      <c r="G21" s="3"/>
      <c r="H21" s="3"/>
      <c r="I21" s="3">
        <f t="shared" si="0"/>
        <v>1</v>
      </c>
    </row>
    <row r="22" spans="1:9" x14ac:dyDescent="0.3">
      <c r="A22" s="3">
        <v>21</v>
      </c>
      <c r="B22" s="3" t="str">
        <f>'[1]28.01'!B20</f>
        <v xml:space="preserve">JAMESON 1л </v>
      </c>
      <c r="C22" s="3">
        <f>[2]Лист11!I22</f>
        <v>0.79999999999999993</v>
      </c>
      <c r="D22" s="3"/>
      <c r="E22" s="3"/>
      <c r="F22" s="3"/>
      <c r="G22" s="3"/>
      <c r="H22" s="3"/>
      <c r="I22" s="3">
        <f t="shared" si="0"/>
        <v>0.79999999999999993</v>
      </c>
    </row>
    <row r="23" spans="1:9" x14ac:dyDescent="0.3">
      <c r="A23" s="3">
        <v>22</v>
      </c>
      <c r="B23" s="3" t="str">
        <f>'[1]28.01'!B21</f>
        <v>JAMESON 0,7</v>
      </c>
      <c r="C23" s="3">
        <f>[2]Лист11!I23</f>
        <v>2</v>
      </c>
      <c r="D23" s="3"/>
      <c r="E23" s="3"/>
      <c r="F23" s="3"/>
      <c r="G23" s="3"/>
      <c r="H23" s="3"/>
      <c r="I23" s="3">
        <f t="shared" si="0"/>
        <v>2</v>
      </c>
    </row>
    <row r="24" spans="1:9" x14ac:dyDescent="0.3">
      <c r="A24" s="3">
        <v>23</v>
      </c>
      <c r="B24" s="3" t="str">
        <f>'[1]28.01'!B22</f>
        <v>JAMESON 0,5</v>
      </c>
      <c r="C24" s="3">
        <f>[2]Лист11!I24</f>
        <v>2</v>
      </c>
      <c r="D24" s="3"/>
      <c r="E24" s="3"/>
      <c r="F24" s="3"/>
      <c r="G24" s="3"/>
      <c r="H24" s="3"/>
      <c r="I24" s="3">
        <f t="shared" si="0"/>
        <v>2</v>
      </c>
    </row>
    <row r="25" spans="1:9" x14ac:dyDescent="0.3">
      <c r="A25" s="3">
        <v>24</v>
      </c>
      <c r="B25" s="3" t="str">
        <f>'[1]28.01'!B23</f>
        <v>Скотч 0,7</v>
      </c>
      <c r="C25" s="3">
        <f>[2]Лист11!I25</f>
        <v>2.4</v>
      </c>
      <c r="D25" s="3"/>
      <c r="E25" s="3"/>
      <c r="F25" s="3"/>
      <c r="G25" s="3"/>
      <c r="H25" s="3"/>
      <c r="I25" s="3">
        <f t="shared" si="0"/>
        <v>2.4</v>
      </c>
    </row>
    <row r="26" spans="1:9" x14ac:dyDescent="0.3">
      <c r="A26" s="3">
        <v>25</v>
      </c>
      <c r="B26" s="3" t="str">
        <f>'[1]28.01'!B24</f>
        <v>Скотч 0,5</v>
      </c>
      <c r="C26" s="3">
        <f>[2]Лист11!I26</f>
        <v>3</v>
      </c>
      <c r="D26" s="3"/>
      <c r="E26" s="3"/>
      <c r="F26" s="3"/>
      <c r="G26" s="3"/>
      <c r="H26" s="3"/>
      <c r="I26" s="3">
        <f t="shared" si="0"/>
        <v>3</v>
      </c>
    </row>
    <row r="27" spans="1:9" x14ac:dyDescent="0.3">
      <c r="A27" s="3">
        <v>26</v>
      </c>
      <c r="B27" s="3" t="str">
        <f>'[1]28.01'!B25</f>
        <v>Ром 1л</v>
      </c>
      <c r="C27" s="3">
        <f>[2]Лист11!I27</f>
        <v>1.2499999999999998</v>
      </c>
      <c r="D27" s="3"/>
      <c r="E27" s="3"/>
      <c r="F27" s="3"/>
      <c r="G27" s="3"/>
      <c r="H27" s="3"/>
      <c r="I27" s="3">
        <f t="shared" si="0"/>
        <v>1.2499999999999998</v>
      </c>
    </row>
    <row r="28" spans="1:9" x14ac:dyDescent="0.3">
      <c r="A28" s="3">
        <v>27</v>
      </c>
      <c r="B28" s="3" t="s">
        <v>7</v>
      </c>
      <c r="C28" s="3">
        <f>[2]Лист11!I28</f>
        <v>2</v>
      </c>
      <c r="D28" s="3"/>
      <c r="E28" s="3"/>
      <c r="F28" s="3"/>
      <c r="G28" s="3"/>
      <c r="H28" s="3"/>
      <c r="I28" s="3">
        <f t="shared" si="0"/>
        <v>2</v>
      </c>
    </row>
    <row r="29" spans="1:9" x14ac:dyDescent="0.3">
      <c r="A29" s="3">
        <v>28</v>
      </c>
      <c r="B29" s="3" t="s">
        <v>8</v>
      </c>
      <c r="C29" s="3">
        <f>[2]Лист11!I29</f>
        <v>2</v>
      </c>
      <c r="D29" s="3"/>
      <c r="E29" s="3"/>
      <c r="F29" s="3"/>
      <c r="G29" s="3"/>
      <c r="H29" s="3"/>
      <c r="I29" s="3">
        <f t="shared" si="0"/>
        <v>2</v>
      </c>
    </row>
    <row r="30" spans="1:9" x14ac:dyDescent="0.3">
      <c r="A30" s="3">
        <v>29</v>
      </c>
      <c r="B30" s="3" t="s">
        <v>9</v>
      </c>
      <c r="C30" s="3">
        <f>[2]Лист11!I30</f>
        <v>2.7</v>
      </c>
      <c r="D30" s="3"/>
      <c r="E30" s="3"/>
      <c r="F30" s="3"/>
      <c r="G30" s="3"/>
      <c r="H30" s="3"/>
      <c r="I30" s="3">
        <f t="shared" si="0"/>
        <v>2.7</v>
      </c>
    </row>
    <row r="31" spans="1:9" x14ac:dyDescent="0.3">
      <c r="A31" s="3">
        <v>30</v>
      </c>
      <c r="B31" s="3" t="s">
        <v>10</v>
      </c>
      <c r="C31" s="3">
        <f>[2]Лист11!I31</f>
        <v>2</v>
      </c>
      <c r="D31" s="3"/>
      <c r="E31" s="3"/>
      <c r="F31" s="3"/>
      <c r="G31" s="3"/>
      <c r="H31" s="3"/>
      <c r="I31" s="3">
        <f t="shared" si="0"/>
        <v>2</v>
      </c>
    </row>
    <row r="32" spans="1:9" x14ac:dyDescent="0.3">
      <c r="A32" s="3">
        <v>31</v>
      </c>
      <c r="B32" s="3" t="str">
        <f>'[1]28.01'!B30</f>
        <v>Алазанская долина</v>
      </c>
      <c r="C32" s="3">
        <f>[2]Лист11!I32</f>
        <v>8</v>
      </c>
      <c r="D32" s="3"/>
      <c r="E32" s="3"/>
      <c r="F32" s="3"/>
      <c r="G32" s="3"/>
      <c r="H32" s="3"/>
      <c r="I32" s="3">
        <f t="shared" si="0"/>
        <v>8</v>
      </c>
    </row>
    <row r="33" spans="1:9" x14ac:dyDescent="0.3">
      <c r="A33" s="3">
        <v>32</v>
      </c>
      <c r="B33" s="3" t="str">
        <f>'[1]28.01'!B31</f>
        <v>Бахус</v>
      </c>
      <c r="C33" s="3">
        <f>[2]Лист11!I33</f>
        <v>3</v>
      </c>
      <c r="D33" s="3"/>
      <c r="E33" s="3"/>
      <c r="F33" s="3"/>
      <c r="G33" s="3"/>
      <c r="H33" s="3"/>
      <c r="I33" s="3">
        <f t="shared" si="0"/>
        <v>3</v>
      </c>
    </row>
    <row r="34" spans="1:9" x14ac:dyDescent="0.3">
      <c r="A34" s="3">
        <v>33</v>
      </c>
      <c r="B34" s="3" t="str">
        <f>'[1]28.01'!B32</f>
        <v>Изуми</v>
      </c>
      <c r="C34" s="3">
        <f>[2]Лист11!I34</f>
        <v>2</v>
      </c>
      <c r="D34" s="3"/>
      <c r="E34" s="3"/>
      <c r="F34" s="3"/>
      <c r="G34" s="3"/>
      <c r="H34" s="3"/>
      <c r="I34" s="3">
        <f t="shared" si="0"/>
        <v>2</v>
      </c>
    </row>
    <row r="35" spans="1:9" x14ac:dyDescent="0.3">
      <c r="A35" s="3">
        <v>34</v>
      </c>
      <c r="B35" s="3" t="str">
        <f>'[1]28.01'!B33</f>
        <v>Киндзмараули</v>
      </c>
      <c r="C35" s="3">
        <f>[2]Лист11!I35</f>
        <v>0</v>
      </c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3">
        <v>35</v>
      </c>
      <c r="B36" s="3" t="str">
        <f>'[1]28.01'!B34</f>
        <v>Ркацетели</v>
      </c>
      <c r="C36" s="3">
        <f>[2]Лист11!I36</f>
        <v>3</v>
      </c>
      <c r="D36" s="3"/>
      <c r="E36" s="3"/>
      <c r="F36" s="3"/>
      <c r="G36" s="3"/>
      <c r="H36" s="3"/>
      <c r="I36" s="3">
        <f t="shared" si="0"/>
        <v>3</v>
      </c>
    </row>
    <row r="37" spans="1:9" x14ac:dyDescent="0.3">
      <c r="A37" s="3">
        <v>36</v>
      </c>
      <c r="B37" s="3" t="str">
        <f>'[1]28.01'!B35</f>
        <v>Шампанское</v>
      </c>
      <c r="C37" s="3">
        <f>[2]Лист11!I37</f>
        <v>0</v>
      </c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3">
        <v>37</v>
      </c>
      <c r="B38" s="3" t="str">
        <f>'[1]28.01'!B36</f>
        <v>Мартини 1л</v>
      </c>
      <c r="C38" s="3">
        <f>[2]Лист11!I38</f>
        <v>0.85000000000000009</v>
      </c>
      <c r="D38" s="3"/>
      <c r="E38" s="3"/>
      <c r="F38" s="3"/>
      <c r="G38" s="3"/>
      <c r="H38" s="3"/>
      <c r="I38" s="3">
        <f t="shared" si="0"/>
        <v>0.85000000000000009</v>
      </c>
    </row>
    <row r="39" spans="1:9" x14ac:dyDescent="0.3">
      <c r="A39" s="3">
        <v>38</v>
      </c>
      <c r="B39" s="3" t="s">
        <v>11</v>
      </c>
      <c r="C39" s="3">
        <f>[2]Лист11!I39</f>
        <v>11</v>
      </c>
      <c r="D39" s="3"/>
      <c r="E39" s="3"/>
      <c r="F39" s="3"/>
      <c r="G39" s="3"/>
      <c r="H39" s="3"/>
      <c r="I39" s="3">
        <f t="shared" si="0"/>
        <v>11</v>
      </c>
    </row>
    <row r="40" spans="1:9" x14ac:dyDescent="0.3">
      <c r="A40" s="3">
        <v>39</v>
      </c>
      <c r="B40" s="3" t="str">
        <f>'[1]28.01'!B38</f>
        <v>Балтика 0</v>
      </c>
      <c r="C40" s="3">
        <f>[2]Лист11!I40</f>
        <v>14</v>
      </c>
      <c r="D40" s="3"/>
      <c r="E40" s="3"/>
      <c r="F40" s="3"/>
      <c r="G40" s="3"/>
      <c r="H40" s="3"/>
      <c r="I40" s="3">
        <f t="shared" si="0"/>
        <v>14</v>
      </c>
    </row>
    <row r="41" spans="1:9" x14ac:dyDescent="0.3">
      <c r="A41" s="3">
        <v>40</v>
      </c>
      <c r="B41" s="3" t="str">
        <f>'[1]28.01'!B39</f>
        <v>Балтика 5,7</v>
      </c>
      <c r="C41" s="3">
        <f>[2]Лист11!I41</f>
        <v>38</v>
      </c>
      <c r="D41" s="3"/>
      <c r="E41" s="3"/>
      <c r="F41" s="3"/>
      <c r="G41" s="3"/>
      <c r="H41" s="3"/>
      <c r="I41" s="3">
        <f t="shared" si="0"/>
        <v>38</v>
      </c>
    </row>
    <row r="42" spans="1:9" x14ac:dyDescent="0.3">
      <c r="A42" s="3">
        <v>41</v>
      </c>
      <c r="B42" s="3" t="str">
        <f>'[1]28.01'!B40</f>
        <v>Самерсби</v>
      </c>
      <c r="C42" s="3">
        <f>[2]Лист11!I42</f>
        <v>5</v>
      </c>
      <c r="D42" s="3"/>
      <c r="E42" s="3"/>
      <c r="F42" s="3"/>
      <c r="G42" s="3"/>
      <c r="H42" s="3"/>
      <c r="I42" s="3">
        <f t="shared" si="0"/>
        <v>5</v>
      </c>
    </row>
    <row r="43" spans="1:9" x14ac:dyDescent="0.3">
      <c r="A43" s="3">
        <v>42</v>
      </c>
      <c r="B43" s="3" t="str">
        <f>'[1]28.01'!B41</f>
        <v>Кружка свежего</v>
      </c>
      <c r="C43" s="3">
        <f>[2]Лист11!I43</f>
        <v>122</v>
      </c>
      <c r="D43" s="3"/>
      <c r="E43" s="3"/>
      <c r="F43" s="3"/>
      <c r="G43" s="3"/>
      <c r="H43" s="3"/>
      <c r="I43" s="3">
        <f t="shared" si="0"/>
        <v>122</v>
      </c>
    </row>
    <row r="44" spans="1:9" x14ac:dyDescent="0.3">
      <c r="A44" s="3">
        <v>43</v>
      </c>
      <c r="B44" s="3" t="str">
        <f>'[1]28.01'!B42</f>
        <v>Козел</v>
      </c>
      <c r="C44" s="3">
        <f>[2]Лист11!I44</f>
        <v>0</v>
      </c>
      <c r="D44" s="3"/>
      <c r="E44" s="3"/>
      <c r="F44" s="3"/>
      <c r="G44" s="3"/>
      <c r="H44" s="3"/>
      <c r="I44" s="3">
        <f t="shared" si="0"/>
        <v>0</v>
      </c>
    </row>
    <row r="45" spans="1:9" x14ac:dyDescent="0.3">
      <c r="A45" s="3">
        <v>44</v>
      </c>
      <c r="B45" s="3" t="str">
        <f>'[1]28.01'!B43</f>
        <v>Миллер</v>
      </c>
      <c r="C45" s="3">
        <f>[2]Лист11!I45</f>
        <v>17</v>
      </c>
      <c r="D45" s="3"/>
      <c r="E45" s="3"/>
      <c r="F45" s="3"/>
      <c r="G45" s="3"/>
      <c r="H45" s="3"/>
      <c r="I45" s="3">
        <f t="shared" si="0"/>
        <v>17</v>
      </c>
    </row>
    <row r="46" spans="1:9" x14ac:dyDescent="0.3">
      <c r="A46" s="3">
        <v>45</v>
      </c>
      <c r="B46" s="3" t="str">
        <f>'[1]28.01'!B44</f>
        <v>Бавария</v>
      </c>
      <c r="C46" s="3">
        <f>[2]Лист11!I46</f>
        <v>0</v>
      </c>
      <c r="D46" s="3"/>
      <c r="E46" s="3"/>
      <c r="F46" s="3"/>
      <c r="G46" s="3"/>
      <c r="H46" s="3"/>
      <c r="I46" s="3">
        <f t="shared" si="0"/>
        <v>0</v>
      </c>
    </row>
    <row r="47" spans="1:9" x14ac:dyDescent="0.3">
      <c r="A47" s="3">
        <v>46</v>
      </c>
      <c r="B47" s="3" t="str">
        <f>'[1]28.01'!B45</f>
        <v>Жатецкий гусь</v>
      </c>
      <c r="C47" s="3">
        <f>[2]Лист11!I47</f>
        <v>39</v>
      </c>
      <c r="D47" s="3"/>
      <c r="E47" s="3"/>
      <c r="F47" s="3"/>
      <c r="G47" s="3"/>
      <c r="H47" s="3"/>
      <c r="I47" s="3">
        <f t="shared" si="0"/>
        <v>39</v>
      </c>
    </row>
    <row r="48" spans="1:9" x14ac:dyDescent="0.3">
      <c r="A48" s="3">
        <v>47</v>
      </c>
      <c r="B48" s="3" t="str">
        <f>'[1]28.01'!B46</f>
        <v>Бланк</v>
      </c>
      <c r="C48" s="3">
        <f>[2]Лист11!I48</f>
        <v>12</v>
      </c>
      <c r="D48" s="3"/>
      <c r="E48" s="3"/>
      <c r="F48" s="3"/>
      <c r="G48" s="3"/>
      <c r="H48" s="3"/>
      <c r="I48" s="3">
        <f t="shared" si="0"/>
        <v>12</v>
      </c>
    </row>
    <row r="49" spans="1:9" x14ac:dyDescent="0.3">
      <c r="A49" s="3">
        <v>48</v>
      </c>
      <c r="B49" s="3" t="s">
        <v>12</v>
      </c>
      <c r="C49" s="3">
        <f>[2]Лист11!I49</f>
        <v>9</v>
      </c>
      <c r="D49" s="3"/>
      <c r="E49" s="3"/>
      <c r="F49" s="3"/>
      <c r="G49" s="3"/>
      <c r="H49" s="3"/>
      <c r="I49" s="3">
        <f t="shared" si="0"/>
        <v>9</v>
      </c>
    </row>
    <row r="50" spans="1:9" x14ac:dyDescent="0.3">
      <c r="A50" s="3">
        <v>49</v>
      </c>
      <c r="B50" s="3" t="s">
        <v>13</v>
      </c>
      <c r="C50" s="3">
        <f>[2]Лист11!I50</f>
        <v>12</v>
      </c>
      <c r="D50" s="3"/>
      <c r="E50" s="3"/>
      <c r="F50" s="3"/>
      <c r="G50" s="3"/>
      <c r="H50" s="3"/>
      <c r="I50" s="3">
        <f t="shared" si="0"/>
        <v>12</v>
      </c>
    </row>
    <row r="51" spans="1:9" x14ac:dyDescent="0.3">
      <c r="A51" s="3">
        <v>50</v>
      </c>
      <c r="B51" s="3" t="s">
        <v>14</v>
      </c>
      <c r="C51" s="3">
        <f>[2]Лист11!I51</f>
        <v>30</v>
      </c>
      <c r="D51" s="3"/>
      <c r="E51" s="3"/>
      <c r="F51" s="3"/>
      <c r="G51" s="3"/>
      <c r="H51" s="3"/>
      <c r="I51" s="3">
        <f t="shared" si="0"/>
        <v>30</v>
      </c>
    </row>
    <row r="52" spans="1:9" x14ac:dyDescent="0.3">
      <c r="A52" s="3">
        <v>51</v>
      </c>
      <c r="B52" s="3" t="str">
        <f>'[1]28.01'!B48</f>
        <v>Дизи</v>
      </c>
      <c r="C52" s="3">
        <f>[2]Лист11!I52</f>
        <v>8</v>
      </c>
      <c r="D52" s="3"/>
      <c r="E52" s="3"/>
      <c r="F52" s="3"/>
      <c r="G52" s="3"/>
      <c r="H52" s="3"/>
      <c r="I52" s="3">
        <f t="shared" si="0"/>
        <v>8</v>
      </c>
    </row>
    <row r="53" spans="1:9" x14ac:dyDescent="0.3">
      <c r="A53" s="3">
        <v>52</v>
      </c>
      <c r="B53" s="3" t="str">
        <f>'[1]28.01'!B49</f>
        <v>Чай черный</v>
      </c>
      <c r="C53" s="3">
        <f>[2]Лист11!I53</f>
        <v>93</v>
      </c>
      <c r="D53" s="3"/>
      <c r="E53" s="3"/>
      <c r="F53" s="3"/>
      <c r="G53" s="3"/>
      <c r="H53" s="3"/>
      <c r="I53" s="3">
        <f t="shared" si="0"/>
        <v>93</v>
      </c>
    </row>
    <row r="54" spans="1:9" x14ac:dyDescent="0.3">
      <c r="A54" s="3">
        <v>53</v>
      </c>
      <c r="B54" s="3" t="str">
        <f>'[1]28.01'!B50</f>
        <v>Чай зеленый</v>
      </c>
      <c r="C54" s="3">
        <f>[2]Лист11!I54</f>
        <v>88</v>
      </c>
      <c r="D54" s="3"/>
      <c r="E54" s="3"/>
      <c r="F54" s="3"/>
      <c r="G54" s="3"/>
      <c r="H54" s="3"/>
      <c r="I54" s="3">
        <f t="shared" si="0"/>
        <v>88</v>
      </c>
    </row>
    <row r="55" spans="1:9" x14ac:dyDescent="0.3">
      <c r="A55" s="3">
        <v>54</v>
      </c>
      <c r="B55" s="3" t="str">
        <f>'[1]28.01'!B51</f>
        <v xml:space="preserve">кофе </v>
      </c>
      <c r="C55" s="3">
        <f>[2]Лист11!I55</f>
        <v>28</v>
      </c>
      <c r="D55" s="3"/>
      <c r="E55" s="3"/>
      <c r="F55" s="3"/>
      <c r="G55" s="3"/>
      <c r="H55" s="3"/>
      <c r="I55" s="3">
        <f t="shared" si="0"/>
        <v>28</v>
      </c>
    </row>
    <row r="56" spans="1:9" x14ac:dyDescent="0.3">
      <c r="A56" s="3">
        <v>55</v>
      </c>
      <c r="B56" s="3" t="str">
        <f>'[1]28.01'!B52</f>
        <v>капсулы</v>
      </c>
      <c r="C56" s="3">
        <f>[2]Лист11!I56</f>
        <v>13</v>
      </c>
      <c r="D56" s="3"/>
      <c r="E56" s="3"/>
      <c r="F56" s="3"/>
      <c r="G56" s="3"/>
      <c r="H56" s="3"/>
      <c r="I56" s="3">
        <f t="shared" si="0"/>
        <v>13</v>
      </c>
    </row>
    <row r="57" spans="1:9" x14ac:dyDescent="0.3">
      <c r="A57" s="3">
        <v>56</v>
      </c>
      <c r="B57" s="3" t="str">
        <f>'[1]28.01'!B53</f>
        <v>шоколад</v>
      </c>
      <c r="C57" s="3">
        <f>[2]Лист11!I57</f>
        <v>15</v>
      </c>
      <c r="D57" s="3"/>
      <c r="E57" s="3"/>
      <c r="F57" s="3"/>
      <c r="G57" s="3"/>
      <c r="H57" s="3"/>
      <c r="I57" s="3">
        <f t="shared" si="0"/>
        <v>15</v>
      </c>
    </row>
    <row r="58" spans="1:9" x14ac:dyDescent="0.3">
      <c r="A58" s="3">
        <v>57</v>
      </c>
      <c r="B58" s="3" t="str">
        <f>'[1]28.01'!B54</f>
        <v>сникерс</v>
      </c>
      <c r="C58" s="3">
        <f>[2]Лист11!I58</f>
        <v>3</v>
      </c>
      <c r="D58" s="3"/>
      <c r="E58" s="3"/>
      <c r="F58" s="3"/>
      <c r="G58" s="3"/>
      <c r="H58" s="3"/>
      <c r="I58" s="3">
        <f t="shared" si="0"/>
        <v>3</v>
      </c>
    </row>
    <row r="59" spans="1:9" x14ac:dyDescent="0.3">
      <c r="A59" s="3">
        <v>58</v>
      </c>
      <c r="B59" s="3" t="str">
        <f>'[1]28.01'!B55</f>
        <v>орбит</v>
      </c>
      <c r="C59" s="3">
        <f>[2]Лист11!I59</f>
        <v>6</v>
      </c>
      <c r="D59" s="3"/>
      <c r="E59" s="3"/>
      <c r="F59" s="3"/>
      <c r="G59" s="3"/>
      <c r="H59" s="3"/>
      <c r="I59" s="3">
        <f t="shared" si="0"/>
        <v>6</v>
      </c>
    </row>
    <row r="60" spans="1:9" x14ac:dyDescent="0.3">
      <c r="A60" s="3">
        <v>59</v>
      </c>
      <c r="B60" s="3" t="str">
        <f>'[1]28.01'!B56</f>
        <v>спички</v>
      </c>
      <c r="C60" s="3">
        <f>[2]Лист11!I60</f>
        <v>10</v>
      </c>
      <c r="D60" s="3"/>
      <c r="E60" s="3"/>
      <c r="F60" s="3"/>
      <c r="G60" s="3"/>
      <c r="H60" s="3"/>
      <c r="I60" s="3">
        <f t="shared" si="0"/>
        <v>10</v>
      </c>
    </row>
    <row r="61" spans="1:9" x14ac:dyDescent="0.3">
      <c r="A61" s="3">
        <v>60</v>
      </c>
      <c r="B61" s="3" t="str">
        <f>'[1]28.01'!B57</f>
        <v>зажигалки</v>
      </c>
      <c r="C61" s="3">
        <f>[2]Лист11!I61</f>
        <v>12</v>
      </c>
      <c r="D61" s="3"/>
      <c r="E61" s="3"/>
      <c r="F61" s="3"/>
      <c r="G61" s="3"/>
      <c r="H61" s="3"/>
      <c r="I61" s="3">
        <f t="shared" si="0"/>
        <v>12</v>
      </c>
    </row>
    <row r="62" spans="1:9" x14ac:dyDescent="0.3">
      <c r="A62" s="3">
        <v>61</v>
      </c>
      <c r="B62" s="3" t="str">
        <f>'[1]28.01'!B58</f>
        <v>Парламент</v>
      </c>
      <c r="C62" s="3">
        <f>[2]Лист11!I62</f>
        <v>6</v>
      </c>
      <c r="D62" s="3"/>
      <c r="E62" s="3"/>
      <c r="F62" s="3"/>
      <c r="G62" s="3"/>
      <c r="H62" s="3"/>
      <c r="I62" s="3">
        <f t="shared" si="0"/>
        <v>6</v>
      </c>
    </row>
    <row r="63" spans="1:9" x14ac:dyDescent="0.3">
      <c r="A63" s="3">
        <v>62</v>
      </c>
      <c r="B63" s="3" t="str">
        <f>'[1]28.01'!B59</f>
        <v>Кент</v>
      </c>
      <c r="C63" s="3">
        <f>[2]Лист11!I63</f>
        <v>0</v>
      </c>
      <c r="D63" s="3"/>
      <c r="E63" s="3"/>
      <c r="F63" s="3"/>
      <c r="G63" s="3"/>
      <c r="H63" s="3"/>
      <c r="I63" s="3">
        <f t="shared" si="0"/>
        <v>0</v>
      </c>
    </row>
    <row r="64" spans="1:9" x14ac:dyDescent="0.3">
      <c r="A64" s="3">
        <v>63</v>
      </c>
      <c r="B64" s="3" t="str">
        <f>'[1]28.01'!B60</f>
        <v>ЛМ</v>
      </c>
      <c r="C64" s="3">
        <f>[2]Лист11!I64</f>
        <v>9</v>
      </c>
      <c r="D64" s="3"/>
      <c r="E64" s="3"/>
      <c r="F64" s="3"/>
      <c r="G64" s="3"/>
      <c r="H64" s="3"/>
      <c r="I64" s="3">
        <f t="shared" si="0"/>
        <v>9</v>
      </c>
    </row>
    <row r="65" spans="1:9" x14ac:dyDescent="0.3">
      <c r="A65" s="3">
        <v>64</v>
      </c>
      <c r="B65" s="3" t="str">
        <f>'[1]28.01'!B61</f>
        <v>Лимонад</v>
      </c>
      <c r="C65" s="3">
        <f>[2]Лист11!I65</f>
        <v>17</v>
      </c>
      <c r="D65" s="3"/>
      <c r="E65" s="3"/>
      <c r="F65" s="3"/>
      <c r="G65" s="3"/>
      <c r="H65" s="3"/>
      <c r="I65" s="3">
        <f t="shared" si="0"/>
        <v>17</v>
      </c>
    </row>
    <row r="66" spans="1:9" x14ac:dyDescent="0.3">
      <c r="A66" s="3">
        <v>65</v>
      </c>
      <c r="B66" s="3" t="str">
        <f>'[1]28.01'!B62</f>
        <v>Сок</v>
      </c>
      <c r="C66" s="3">
        <f>[2]Лист11!I66</f>
        <v>40.024999999999999</v>
      </c>
      <c r="D66" s="3"/>
      <c r="E66" s="3"/>
      <c r="F66" s="3"/>
      <c r="G66" s="3"/>
      <c r="H66" s="3"/>
      <c r="I66" s="3">
        <f t="shared" si="0"/>
        <v>40.024999999999999</v>
      </c>
    </row>
    <row r="67" spans="1:9" x14ac:dyDescent="0.3">
      <c r="A67" s="3">
        <v>66</v>
      </c>
      <c r="B67" s="3" t="str">
        <f>'[1]28.01'!B63</f>
        <v>Кола Пепси 1л</v>
      </c>
      <c r="C67" s="3">
        <f>[2]Лист11!I67</f>
        <v>78</v>
      </c>
      <c r="D67" s="3"/>
      <c r="E67" s="3"/>
      <c r="F67" s="3"/>
      <c r="G67" s="3"/>
      <c r="H67" s="3"/>
      <c r="I67" s="3">
        <f t="shared" ref="I67:I94" si="1">C67+D67-E67-F67-G67-H67</f>
        <v>78</v>
      </c>
    </row>
    <row r="68" spans="1:9" x14ac:dyDescent="0.3">
      <c r="A68" s="3">
        <v>67</v>
      </c>
      <c r="B68" s="3" t="str">
        <f>'[1]28.01'!B64</f>
        <v>Кола 0,5</v>
      </c>
      <c r="C68" s="3">
        <f>[2]Лист11!I68</f>
        <v>19</v>
      </c>
      <c r="D68" s="3"/>
      <c r="E68" s="3"/>
      <c r="F68" s="3"/>
      <c r="G68" s="3"/>
      <c r="H68" s="3"/>
      <c r="I68" s="3">
        <f t="shared" si="1"/>
        <v>19</v>
      </c>
    </row>
    <row r="69" spans="1:9" x14ac:dyDescent="0.3">
      <c r="A69" s="3">
        <v>68</v>
      </c>
      <c r="B69" s="3" t="str">
        <f>'[1]28.01'!B65</f>
        <v>Спрайт 1л</v>
      </c>
      <c r="C69" s="3">
        <f>[2]Лист11!I69</f>
        <v>12</v>
      </c>
      <c r="D69" s="3"/>
      <c r="E69" s="3"/>
      <c r="F69" s="3"/>
      <c r="G69" s="3"/>
      <c r="H69" s="3"/>
      <c r="I69" s="3">
        <f t="shared" si="1"/>
        <v>12</v>
      </c>
    </row>
    <row r="70" spans="1:9" x14ac:dyDescent="0.3">
      <c r="A70" s="3">
        <v>69</v>
      </c>
      <c r="B70" s="3" t="str">
        <f>'[1]28.01'!B66</f>
        <v>Фанта 1л</v>
      </c>
      <c r="C70" s="3">
        <f>[2]Лист11!I70</f>
        <v>8</v>
      </c>
      <c r="D70" s="3"/>
      <c r="E70" s="3"/>
      <c r="F70" s="3"/>
      <c r="G70" s="3"/>
      <c r="H70" s="3"/>
      <c r="I70" s="3">
        <f t="shared" si="1"/>
        <v>8</v>
      </c>
    </row>
    <row r="71" spans="1:9" x14ac:dyDescent="0.3">
      <c r="A71" s="3">
        <v>70</v>
      </c>
      <c r="B71" s="3" t="str">
        <f>'[1]28.01'!B67</f>
        <v>Мин.вода 1л</v>
      </c>
      <c r="C71" s="3">
        <f>[2]Лист11!I71</f>
        <v>89</v>
      </c>
      <c r="D71" s="3"/>
      <c r="E71" s="3"/>
      <c r="F71" s="3"/>
      <c r="G71" s="3"/>
      <c r="H71" s="3"/>
      <c r="I71" s="3">
        <f t="shared" si="1"/>
        <v>89</v>
      </c>
    </row>
    <row r="72" spans="1:9" x14ac:dyDescent="0.3">
      <c r="A72" s="3">
        <v>71</v>
      </c>
      <c r="B72" s="3" t="str">
        <f>'[1]28.01'!B68</f>
        <v>Мин.вода 0,5</v>
      </c>
      <c r="C72" s="3">
        <f>[2]Лист11!I72</f>
        <v>34</v>
      </c>
      <c r="D72" s="3"/>
      <c r="E72" s="3"/>
      <c r="F72" s="3"/>
      <c r="G72" s="3"/>
      <c r="H72" s="3"/>
      <c r="I72" s="3">
        <f t="shared" si="1"/>
        <v>34</v>
      </c>
    </row>
    <row r="73" spans="1:9" x14ac:dyDescent="0.3">
      <c r="A73" s="3">
        <v>72</v>
      </c>
      <c r="B73" s="3" t="str">
        <f>'[1]28.01'!B69</f>
        <v>Компот</v>
      </c>
      <c r="C73" s="3">
        <f>[2]Лист11!I73</f>
        <v>0.25</v>
      </c>
      <c r="D73" s="3"/>
      <c r="E73" s="3"/>
      <c r="F73" s="3"/>
      <c r="G73" s="3"/>
      <c r="H73" s="3"/>
      <c r="I73" s="3">
        <f t="shared" si="1"/>
        <v>0.25</v>
      </c>
    </row>
    <row r="74" spans="1:9" x14ac:dyDescent="0.3">
      <c r="A74" s="3">
        <v>73</v>
      </c>
      <c r="B74" s="3" t="str">
        <f>'[1]28.01'!B70</f>
        <v>Моохито</v>
      </c>
      <c r="C74" s="3">
        <f>[2]Лист11!I74</f>
        <v>14</v>
      </c>
      <c r="D74" s="3"/>
      <c r="E74" s="3"/>
      <c r="F74" s="3"/>
      <c r="G74" s="3"/>
      <c r="H74" s="3"/>
      <c r="I74" s="3">
        <f t="shared" si="1"/>
        <v>14</v>
      </c>
    </row>
    <row r="75" spans="1:9" x14ac:dyDescent="0.3">
      <c r="A75" s="3">
        <v>74</v>
      </c>
      <c r="B75" s="3" t="str">
        <f>'[1]28.01'!B71</f>
        <v>Курт маленький</v>
      </c>
      <c r="C75" s="3">
        <f>[2]Лист11!I75</f>
        <v>14</v>
      </c>
      <c r="D75" s="3"/>
      <c r="E75" s="3"/>
      <c r="F75" s="3"/>
      <c r="G75" s="3"/>
      <c r="H75" s="3"/>
      <c r="I75" s="3">
        <v>14</v>
      </c>
    </row>
    <row r="76" spans="1:9" x14ac:dyDescent="0.3">
      <c r="A76" s="3">
        <v>75</v>
      </c>
      <c r="B76" s="3" t="str">
        <f>'[1]28.01'!B72</f>
        <v>Кириешки маленькие</v>
      </c>
      <c r="C76" s="3">
        <f>[2]Лист11!I76</f>
        <v>18</v>
      </c>
      <c r="D76" s="3"/>
      <c r="E76" s="3"/>
      <c r="F76" s="3"/>
      <c r="G76" s="3"/>
      <c r="H76" s="3"/>
      <c r="I76" s="3">
        <f t="shared" si="1"/>
        <v>18</v>
      </c>
    </row>
    <row r="77" spans="1:9" x14ac:dyDescent="0.3">
      <c r="A77" s="3">
        <v>76</v>
      </c>
      <c r="B77" s="3" t="str">
        <f>'[1]28.01'!B73</f>
        <v>Кириешки с соусом</v>
      </c>
      <c r="C77" s="3">
        <f>[2]Лист11!I77</f>
        <v>67</v>
      </c>
      <c r="D77" s="3"/>
      <c r="E77" s="3"/>
      <c r="F77" s="3"/>
      <c r="G77" s="3"/>
      <c r="H77" s="3"/>
      <c r="I77" s="3">
        <f t="shared" si="1"/>
        <v>67</v>
      </c>
    </row>
    <row r="78" spans="1:9" x14ac:dyDescent="0.3">
      <c r="A78" s="3">
        <v>77</v>
      </c>
      <c r="B78" s="3" t="str">
        <f>'[1]28.01'!B74</f>
        <v>Кириешки большие</v>
      </c>
      <c r="C78" s="3">
        <f>[2]Лист11!I78</f>
        <v>38</v>
      </c>
      <c r="D78" s="3"/>
      <c r="E78" s="3"/>
      <c r="F78" s="3"/>
      <c r="G78" s="3"/>
      <c r="H78" s="3"/>
      <c r="I78" s="3">
        <f t="shared" si="1"/>
        <v>38</v>
      </c>
    </row>
    <row r="79" spans="1:9" x14ac:dyDescent="0.3">
      <c r="A79" s="3">
        <v>78</v>
      </c>
      <c r="B79" s="3" t="str">
        <f>'[1]28.01'!B75</f>
        <v>Чипсы большие</v>
      </c>
      <c r="C79" s="3">
        <f>[2]Лист11!I79</f>
        <v>21</v>
      </c>
      <c r="D79" s="3"/>
      <c r="E79" s="3"/>
      <c r="F79" s="3"/>
      <c r="G79" s="3"/>
      <c r="H79" s="3"/>
      <c r="I79" s="3">
        <f t="shared" si="1"/>
        <v>21</v>
      </c>
    </row>
    <row r="80" spans="1:9" x14ac:dyDescent="0.3">
      <c r="A80" s="3">
        <v>79</v>
      </c>
      <c r="B80" s="3" t="str">
        <f>'[1]28.01'!B76</f>
        <v>Чипсы средние</v>
      </c>
      <c r="C80" s="3">
        <f>[2]Лист11!I80</f>
        <v>30</v>
      </c>
      <c r="D80" s="3"/>
      <c r="E80" s="3"/>
      <c r="F80" s="3"/>
      <c r="G80" s="3"/>
      <c r="H80" s="3"/>
      <c r="I80" s="3">
        <f t="shared" si="1"/>
        <v>30</v>
      </c>
    </row>
    <row r="81" spans="1:9" x14ac:dyDescent="0.3">
      <c r="A81" s="3">
        <v>80</v>
      </c>
      <c r="B81" s="3" t="str">
        <f>'[1]28.01'!B77</f>
        <v>Арахис большой</v>
      </c>
      <c r="C81" s="3">
        <f>[2]Лист11!I81</f>
        <v>47</v>
      </c>
      <c r="D81" s="3"/>
      <c r="E81" s="3"/>
      <c r="F81" s="3"/>
      <c r="G81" s="3"/>
      <c r="H81" s="3"/>
      <c r="I81" s="3">
        <f t="shared" si="1"/>
        <v>47</v>
      </c>
    </row>
    <row r="82" spans="1:9" x14ac:dyDescent="0.3">
      <c r="A82" s="3">
        <v>81</v>
      </c>
      <c r="B82" s="3" t="str">
        <f>'[1]28.01'!B78</f>
        <v>Арахис маленький</v>
      </c>
      <c r="C82" s="3">
        <f>[2]Лист11!I82</f>
        <v>45</v>
      </c>
      <c r="D82" s="3"/>
      <c r="E82" s="3"/>
      <c r="F82" s="3"/>
      <c r="G82" s="3"/>
      <c r="H82" s="3"/>
      <c r="I82" s="3">
        <f t="shared" si="1"/>
        <v>45</v>
      </c>
    </row>
    <row r="83" spans="1:9" x14ac:dyDescent="0.3">
      <c r="A83" s="3">
        <v>82</v>
      </c>
      <c r="B83" s="3" t="str">
        <f>'[1]28.01'!B79</f>
        <v>Фисташки</v>
      </c>
      <c r="C83" s="3">
        <f>[2]Лист11!I83</f>
        <v>35</v>
      </c>
      <c r="D83" s="3"/>
      <c r="E83" s="3"/>
      <c r="F83" s="3"/>
      <c r="G83" s="3"/>
      <c r="H83" s="3"/>
      <c r="I83" s="3">
        <f t="shared" si="1"/>
        <v>35</v>
      </c>
    </row>
    <row r="84" spans="1:9" x14ac:dyDescent="0.3">
      <c r="A84" s="3">
        <v>83</v>
      </c>
      <c r="B84" s="3" t="str">
        <f>'[1]28.01'!B80</f>
        <v>Караван большой</v>
      </c>
      <c r="C84" s="3">
        <f>[2]Лист11!I84</f>
        <v>27</v>
      </c>
      <c r="D84" s="3"/>
      <c r="E84" s="3"/>
      <c r="F84" s="3"/>
      <c r="G84" s="3"/>
      <c r="H84" s="3"/>
      <c r="I84" s="3">
        <f t="shared" si="1"/>
        <v>27</v>
      </c>
    </row>
    <row r="85" spans="1:9" x14ac:dyDescent="0.3">
      <c r="A85" s="3">
        <v>84</v>
      </c>
      <c r="B85" s="3" t="str">
        <f>'[1]28.01'!B81</f>
        <v>Караван маленький</v>
      </c>
      <c r="C85" s="3">
        <f>[2]Лист11!I85</f>
        <v>0</v>
      </c>
      <c r="D85" s="3"/>
      <c r="E85" s="3"/>
      <c r="F85" s="3"/>
      <c r="G85" s="3"/>
      <c r="H85" s="3"/>
      <c r="I85" s="3">
        <f t="shared" si="1"/>
        <v>0</v>
      </c>
    </row>
    <row r="86" spans="1:9" x14ac:dyDescent="0.3">
      <c r="A86" s="3">
        <v>85</v>
      </c>
      <c r="B86" s="3" t="str">
        <f>'[1]28.01'!B82</f>
        <v>луковые кольца</v>
      </c>
      <c r="C86" s="3">
        <f>[2]Лист11!I86</f>
        <v>0</v>
      </c>
      <c r="D86" s="3"/>
      <c r="E86" s="3"/>
      <c r="F86" s="3"/>
      <c r="G86" s="3"/>
      <c r="H86" s="3"/>
      <c r="I86" s="3">
        <f t="shared" si="1"/>
        <v>0</v>
      </c>
    </row>
    <row r="87" spans="1:9" x14ac:dyDescent="0.3">
      <c r="A87" s="3">
        <v>86</v>
      </c>
      <c r="B87" s="3" t="str">
        <f>'[1]28.01'!B83</f>
        <v>Чечел</v>
      </c>
      <c r="C87" s="3">
        <f>[2]Лист11!I87</f>
        <v>8</v>
      </c>
      <c r="D87" s="3"/>
      <c r="E87" s="3"/>
      <c r="F87" s="3"/>
      <c r="G87" s="3"/>
      <c r="H87" s="3"/>
      <c r="I87" s="3">
        <f t="shared" si="1"/>
        <v>8</v>
      </c>
    </row>
    <row r="88" spans="1:9" x14ac:dyDescent="0.3">
      <c r="A88" s="3">
        <v>87</v>
      </c>
      <c r="B88" s="3" t="str">
        <f>'[1]28.01'!B84</f>
        <v>рыба</v>
      </c>
      <c r="C88" s="3">
        <f>[2]Лист11!I88</f>
        <v>41</v>
      </c>
      <c r="D88" s="3"/>
      <c r="E88" s="3"/>
      <c r="F88" s="3"/>
      <c r="G88" s="3"/>
      <c r="H88" s="3"/>
      <c r="I88" s="3">
        <f t="shared" si="1"/>
        <v>41</v>
      </c>
    </row>
    <row r="89" spans="1:9" x14ac:dyDescent="0.3">
      <c r="A89" s="3">
        <v>88</v>
      </c>
      <c r="B89" s="3" t="str">
        <f>'[1]28.01'!B85</f>
        <v>Жигули</v>
      </c>
      <c r="C89" s="3">
        <f>[2]Лист11!I89</f>
        <v>171.50000000000011</v>
      </c>
      <c r="D89" s="3"/>
      <c r="E89" s="3"/>
      <c r="F89" s="3"/>
      <c r="G89" s="3"/>
      <c r="H89" s="3"/>
      <c r="I89" s="3">
        <f t="shared" si="1"/>
        <v>171.50000000000011</v>
      </c>
    </row>
    <row r="90" spans="1:9" x14ac:dyDescent="0.3">
      <c r="A90" s="3"/>
      <c r="B90" s="3"/>
      <c r="C90" s="3">
        <f>[2]Лист11!I90</f>
        <v>0</v>
      </c>
      <c r="D90" s="3"/>
      <c r="E90" s="3"/>
      <c r="F90" s="3"/>
      <c r="G90" s="3"/>
      <c r="H90" s="3"/>
      <c r="I90" s="3">
        <f t="shared" si="1"/>
        <v>0</v>
      </c>
    </row>
    <row r="91" spans="1:9" x14ac:dyDescent="0.3">
      <c r="A91" s="3"/>
      <c r="B91" s="3"/>
      <c r="C91" s="3">
        <f>[2]Лист11!I91</f>
        <v>0</v>
      </c>
      <c r="D91" s="3"/>
      <c r="E91" s="3"/>
      <c r="F91" s="3"/>
      <c r="G91" s="3"/>
      <c r="H91" s="3"/>
      <c r="I91" s="3">
        <f t="shared" si="1"/>
        <v>0</v>
      </c>
    </row>
    <row r="92" spans="1:9" x14ac:dyDescent="0.3">
      <c r="A92" s="4"/>
      <c r="B92" s="4"/>
      <c r="C92" s="3">
        <f>[2]Лист11!I92</f>
        <v>0</v>
      </c>
      <c r="D92" s="4"/>
      <c r="E92" s="4"/>
      <c r="F92" s="4"/>
      <c r="G92" s="4"/>
      <c r="H92" s="4"/>
      <c r="I92" s="3">
        <f t="shared" si="1"/>
        <v>0</v>
      </c>
    </row>
    <row r="93" spans="1:9" x14ac:dyDescent="0.3">
      <c r="A93" s="5"/>
      <c r="B93" s="5"/>
      <c r="C93" s="3">
        <f>[2]Лист11!I93</f>
        <v>0</v>
      </c>
      <c r="D93" s="5"/>
      <c r="E93" s="5"/>
      <c r="F93" s="5"/>
      <c r="G93" s="5"/>
      <c r="H93" s="5"/>
      <c r="I93" s="3">
        <f t="shared" si="1"/>
        <v>0</v>
      </c>
    </row>
    <row r="94" spans="1:9" x14ac:dyDescent="0.3">
      <c r="A94" s="5"/>
      <c r="B94" s="5"/>
      <c r="C94" s="3">
        <f>[2]Лист11!I94</f>
        <v>0</v>
      </c>
      <c r="D94" s="5"/>
      <c r="E94" s="5"/>
      <c r="F94" s="5"/>
      <c r="G94" s="5"/>
      <c r="H94" s="5"/>
      <c r="I94" s="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NZT</cp:lastModifiedBy>
  <dcterms:created xsi:type="dcterms:W3CDTF">2026-07-30T16:58:49Z</dcterms:created>
  <dcterms:modified xsi:type="dcterms:W3CDTF">2026-07-31T09:47:10Z</dcterms:modified>
</cp:coreProperties>
</file>